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3ADEC5ED-35F9-450A-BA7E-8883BB1CD24D}" xr6:coauthVersionLast="47" xr6:coauthVersionMax="47" xr10:uidLastSave="{00000000-0000-0000-0000-000000000000}"/>
  <bookViews>
    <workbookView xWindow="-120" yWindow="-120" windowWidth="29040" windowHeight="15720" tabRatio="901" activeTab="8" xr2:uid="{7ABCFBB2-F5C9-4860-BDAB-D4EB52B92FC9}"/>
  </bookViews>
  <sheets>
    <sheet name="Master Template" sheetId="4" r:id="rId1"/>
    <sheet name="CrkConv" sheetId="9" r:id="rId2"/>
    <sheet name="Yield" sheetId="13" r:id="rId3"/>
    <sheet name="MetConv(Ni+V)" sheetId="10" r:id="rId4"/>
    <sheet name="McrConv" sheetId="11" r:id="rId5"/>
    <sheet name="Overall Yield" sheetId="17" r:id="rId6"/>
    <sheet name="SedM" sheetId="14" r:id="rId7"/>
    <sheet name="Prediction" sheetId="15" r:id="rId8"/>
    <sheet name="MEBU HPS DAILY" sheetId="7" r:id="rId9"/>
    <sheet name="MEBU LTO DAILY" sheetId="6" r:id="rId10"/>
    <sheet name="MEBU HPS LTO DAILY Graph" sheetId="8" r:id="rId11"/>
    <sheet name="ISV" sheetId="18" r:id="rId12"/>
    <sheet name="Ref- MEBU Acceptance" sheetId="5" r:id="rId13"/>
    <sheet name="Sheet3" sheetId="16" r:id="rId14"/>
  </sheets>
  <definedNames>
    <definedName name="_xlnm.Print_Area" localSheetId="11">ISV!$D$5:$K$39</definedName>
    <definedName name="_xlnm.Print_Area" localSheetId="8">'MEBU HPS DAILY'!$D$5:$L$86</definedName>
    <definedName name="_xlnm.Print_Area" localSheetId="10">'MEBU HPS LTO DAILY Graph'!$C$1:$L$86</definedName>
    <definedName name="_xlnm.Print_Area" localSheetId="9">'MEBU LTO DAILY'!$D$5:$H$67</definedName>
    <definedName name="solver_adj" localSheetId="7" hidden="1">Prediction!$H$8</definedName>
    <definedName name="solver_cvg" localSheetId="7" hidden="1">0.0001</definedName>
    <definedName name="solver_drv" localSheetId="7" hidden="1">1</definedName>
    <definedName name="solver_eng" localSheetId="7" hidden="1">2</definedName>
    <definedName name="solver_est" localSheetId="7" hidden="1">1</definedName>
    <definedName name="solver_itr" localSheetId="7" hidden="1">2147483647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0</definedName>
    <definedName name="solver_nwt" localSheetId="7" hidden="1">1</definedName>
    <definedName name="solver_opt" localSheetId="7" hidden="1">Prediction!$L$5</definedName>
    <definedName name="solver_pre" localSheetId="7" hidden="1">0.000001</definedName>
    <definedName name="solver_rbv" localSheetId="7" hidden="1">1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3</definedName>
    <definedName name="solver_val" localSheetId="7" hidden="1">68639000000000</definedName>
    <definedName name="solver_ver" localSheetId="7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5" l="1"/>
  <c r="N60" i="7"/>
  <c r="O60" i="7"/>
  <c r="P60" i="7"/>
  <c r="Q60" i="7"/>
  <c r="R60" i="7"/>
  <c r="S60" i="7"/>
  <c r="T60" i="7"/>
  <c r="U60" i="7"/>
  <c r="V60" i="7"/>
  <c r="M60" i="7"/>
  <c r="N59" i="7"/>
  <c r="O59" i="7"/>
  <c r="P59" i="7"/>
  <c r="Q59" i="7"/>
  <c r="R59" i="7"/>
  <c r="S59" i="7"/>
  <c r="T59" i="7"/>
  <c r="U59" i="7"/>
  <c r="V59" i="7"/>
  <c r="M59" i="7"/>
  <c r="M58" i="7"/>
  <c r="K40" i="6"/>
  <c r="L40" i="6"/>
  <c r="M40" i="6"/>
  <c r="N40" i="6"/>
  <c r="O40" i="6"/>
  <c r="P40" i="6"/>
  <c r="Q40" i="6"/>
  <c r="R40" i="6"/>
  <c r="K41" i="6"/>
  <c r="L41" i="6"/>
  <c r="M41" i="6"/>
  <c r="N41" i="6"/>
  <c r="O41" i="6"/>
  <c r="P41" i="6"/>
  <c r="Q41" i="6"/>
  <c r="R41" i="6"/>
  <c r="K42" i="6"/>
  <c r="L42" i="6"/>
  <c r="M42" i="6"/>
  <c r="N42" i="6"/>
  <c r="O42" i="6"/>
  <c r="P42" i="6"/>
  <c r="Q42" i="6"/>
  <c r="R42" i="6"/>
  <c r="K43" i="6"/>
  <c r="L43" i="6"/>
  <c r="M43" i="6"/>
  <c r="N43" i="6"/>
  <c r="O43" i="6"/>
  <c r="P43" i="6"/>
  <c r="Q43" i="6"/>
  <c r="R43" i="6"/>
  <c r="K44" i="6"/>
  <c r="L44" i="6"/>
  <c r="M44" i="6"/>
  <c r="N44" i="6"/>
  <c r="O44" i="6"/>
  <c r="P44" i="6"/>
  <c r="Q44" i="6"/>
  <c r="R44" i="6"/>
  <c r="K45" i="6"/>
  <c r="L45" i="6"/>
  <c r="M45" i="6"/>
  <c r="N45" i="6"/>
  <c r="O45" i="6"/>
  <c r="P45" i="6"/>
  <c r="Q45" i="6"/>
  <c r="R45" i="6"/>
  <c r="K46" i="6"/>
  <c r="L46" i="6"/>
  <c r="M46" i="6"/>
  <c r="N46" i="6"/>
  <c r="O46" i="6"/>
  <c r="P46" i="6"/>
  <c r="Q46" i="6"/>
  <c r="R46" i="6"/>
  <c r="K47" i="6"/>
  <c r="L47" i="6"/>
  <c r="M47" i="6"/>
  <c r="N47" i="6"/>
  <c r="O47" i="6"/>
  <c r="P47" i="6"/>
  <c r="Q47" i="6"/>
  <c r="R47" i="6"/>
  <c r="K48" i="6"/>
  <c r="L48" i="6"/>
  <c r="M48" i="6"/>
  <c r="N48" i="6"/>
  <c r="O48" i="6"/>
  <c r="P48" i="6"/>
  <c r="Q48" i="6"/>
  <c r="R48" i="6"/>
  <c r="K49" i="6"/>
  <c r="L49" i="6"/>
  <c r="M49" i="6"/>
  <c r="N49" i="6"/>
  <c r="O49" i="6"/>
  <c r="P49" i="6"/>
  <c r="Q49" i="6"/>
  <c r="R49" i="6"/>
  <c r="K50" i="6"/>
  <c r="L50" i="6"/>
  <c r="M50" i="6"/>
  <c r="N50" i="6"/>
  <c r="O50" i="6"/>
  <c r="P50" i="6"/>
  <c r="Q50" i="6"/>
  <c r="R50" i="6"/>
  <c r="K51" i="6"/>
  <c r="L51" i="6"/>
  <c r="M51" i="6"/>
  <c r="N51" i="6"/>
  <c r="O51" i="6"/>
  <c r="P51" i="6"/>
  <c r="Q51" i="6"/>
  <c r="R51" i="6"/>
  <c r="K52" i="6"/>
  <c r="L52" i="6"/>
  <c r="M52" i="6"/>
  <c r="N52" i="6"/>
  <c r="O52" i="6"/>
  <c r="P52" i="6"/>
  <c r="Q52" i="6"/>
  <c r="R52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I40" i="6"/>
  <c r="I52" i="6"/>
  <c r="I51" i="6"/>
  <c r="I50" i="6"/>
  <c r="I49" i="6"/>
  <c r="I48" i="6"/>
  <c r="I47" i="6"/>
  <c r="I46" i="6"/>
  <c r="I45" i="6"/>
  <c r="I44" i="6"/>
  <c r="I43" i="6"/>
  <c r="I42" i="6"/>
  <c r="I41" i="6"/>
  <c r="N162" i="4"/>
  <c r="AB28" i="4" a="1"/>
  <c r="AB28" i="4" s="1"/>
  <c r="AB21" i="4" a="1"/>
  <c r="AB21" i="4" s="1"/>
  <c r="AB20" i="4" a="1"/>
  <c r="AB20" i="4" s="1"/>
  <c r="AL67" i="4"/>
  <c r="AL68" i="4"/>
  <c r="AL70" i="4"/>
  <c r="AL63" i="4"/>
  <c r="AL58" i="4"/>
  <c r="AL59" i="4"/>
  <c r="AL60" i="4"/>
  <c r="AL61" i="4"/>
  <c r="E26" i="4"/>
  <c r="F26" i="4"/>
  <c r="G26" i="4"/>
  <c r="H26" i="4"/>
  <c r="I26" i="4"/>
  <c r="J26" i="4"/>
  <c r="K26" i="4"/>
  <c r="L26" i="4"/>
  <c r="M26" i="4"/>
  <c r="N26" i="4"/>
  <c r="E28" i="4" a="1"/>
  <c r="E28" i="4" s="1"/>
  <c r="F28" i="4" a="1"/>
  <c r="F28" i="4"/>
  <c r="G28" i="4" a="1"/>
  <c r="G28" i="4"/>
  <c r="H28" i="4" a="1"/>
  <c r="H28" i="4"/>
  <c r="I28" i="4" a="1"/>
  <c r="I28" i="4" s="1"/>
  <c r="J28" i="4" a="1"/>
  <c r="J28" i="4"/>
  <c r="K28" i="4" a="1"/>
  <c r="K28" i="4"/>
  <c r="L28" i="4" a="1"/>
  <c r="L28" i="4"/>
  <c r="M28" i="4" a="1"/>
  <c r="M28" i="4" s="1"/>
  <c r="N28" i="4" a="1"/>
  <c r="N28" i="4" s="1"/>
  <c r="E33" i="4" a="1"/>
  <c r="E33" i="4" s="1"/>
  <c r="F33" i="4" a="1"/>
  <c r="F33" i="4"/>
  <c r="G33" i="4" a="1"/>
  <c r="G33" i="4" s="1"/>
  <c r="H33" i="4" a="1"/>
  <c r="H33" i="4"/>
  <c r="I33" i="4" a="1"/>
  <c r="I33" i="4"/>
  <c r="J33" i="4" a="1"/>
  <c r="J33" i="4"/>
  <c r="K33" i="4" a="1"/>
  <c r="K33" i="4" s="1"/>
  <c r="L33" i="4" a="1"/>
  <c r="L33" i="4"/>
  <c r="M33" i="4" a="1"/>
  <c r="M33" i="4"/>
  <c r="N33" i="4" a="1"/>
  <c r="N33" i="4"/>
  <c r="E35" i="4"/>
  <c r="F35" i="4"/>
  <c r="G35" i="4"/>
  <c r="H35" i="4"/>
  <c r="I35" i="4"/>
  <c r="J35" i="4"/>
  <c r="K35" i="4"/>
  <c r="L35" i="4"/>
  <c r="M35" i="4"/>
  <c r="N35" i="4"/>
  <c r="N23" i="4"/>
  <c r="N24" i="4"/>
  <c r="E20" i="4"/>
  <c r="F20" i="4"/>
  <c r="G20" i="4"/>
  <c r="H20" i="4"/>
  <c r="I20" i="4"/>
  <c r="J20" i="4"/>
  <c r="K20" i="4"/>
  <c r="L20" i="4"/>
  <c r="M20" i="4"/>
  <c r="N20" i="4"/>
  <c r="E21" i="4"/>
  <c r="F21" i="4"/>
  <c r="G21" i="4"/>
  <c r="H21" i="4"/>
  <c r="I21" i="4"/>
  <c r="J21" i="4"/>
  <c r="K21" i="4"/>
  <c r="L21" i="4"/>
  <c r="M21" i="4"/>
  <c r="N21" i="4"/>
  <c r="E16" i="4" a="1"/>
  <c r="E16" i="4" s="1"/>
  <c r="F16" i="4" a="1"/>
  <c r="F16" i="4"/>
  <c r="G16" i="4" a="1"/>
  <c r="G16" i="4"/>
  <c r="H16" i="4" a="1"/>
  <c r="H16" i="4"/>
  <c r="I16" i="4" a="1"/>
  <c r="I16" i="4"/>
  <c r="J16" i="4" a="1"/>
  <c r="J16" i="4" s="1"/>
  <c r="K16" i="4" a="1"/>
  <c r="K16" i="4"/>
  <c r="L16" i="4" a="1"/>
  <c r="L16" i="4" s="1"/>
  <c r="M16" i="4" a="1"/>
  <c r="M16" i="4"/>
  <c r="N16" i="4" a="1"/>
  <c r="N16" i="4"/>
  <c r="E18" i="4"/>
  <c r="F18" i="4"/>
  <c r="G18" i="4"/>
  <c r="H18" i="4"/>
  <c r="I18" i="4"/>
  <c r="J18" i="4"/>
  <c r="K18" i="4"/>
  <c r="L18" i="4"/>
  <c r="M18" i="4"/>
  <c r="N18" i="4"/>
  <c r="D47" i="4"/>
  <c r="N47" i="4"/>
  <c r="N60" i="4" s="1"/>
  <c r="AB47" i="4"/>
  <c r="P47" i="4"/>
  <c r="AK47" i="4"/>
  <c r="AL47" i="4"/>
  <c r="Z47" i="4"/>
  <c r="AN47" i="4"/>
  <c r="AZ47" i="4"/>
  <c r="AX47" i="4"/>
  <c r="BJ47" i="4"/>
  <c r="BJ37" i="4" a="1"/>
  <c r="BJ37" i="4" s="1"/>
  <c r="AX37" i="4" a="1"/>
  <c r="AX37" i="4" s="1"/>
  <c r="P28" i="4" a="1"/>
  <c r="P28" i="4" s="1"/>
  <c r="P26" i="4" a="1"/>
  <c r="P26" i="4" s="1"/>
  <c r="P23" i="4" a="1"/>
  <c r="P23" i="4" s="1"/>
  <c r="P21" i="4" a="1"/>
  <c r="P21" i="4" s="1"/>
  <c r="P31" i="4" s="1" a="1"/>
  <c r="P31" i="4" s="1"/>
  <c r="P20" i="4" a="1"/>
  <c r="P20" i="4" s="1"/>
  <c r="P18" i="4" a="1"/>
  <c r="P18" i="4" s="1"/>
  <c r="P16" i="4" a="1"/>
  <c r="P16" i="4" s="1"/>
  <c r="R23" i="6"/>
  <c r="R28" i="6"/>
  <c r="R32" i="6" s="1"/>
  <c r="AB35" i="4" s="1" a="1"/>
  <c r="AB35" i="4" s="1"/>
  <c r="R60" i="6"/>
  <c r="R61" i="6" s="1"/>
  <c r="AB7" i="4" s="1" a="1"/>
  <c r="AB7" i="4" s="1"/>
  <c r="AB49" i="4" s="1"/>
  <c r="V23" i="7"/>
  <c r="V28" i="7"/>
  <c r="V31" i="7" s="1"/>
  <c r="V45" i="7"/>
  <c r="V46" i="7"/>
  <c r="V47" i="7"/>
  <c r="V49" i="7"/>
  <c r="V50" i="7"/>
  <c r="V51" i="7"/>
  <c r="V52" i="7"/>
  <c r="V53" i="7"/>
  <c r="V54" i="7"/>
  <c r="V55" i="7"/>
  <c r="V56" i="7"/>
  <c r="V57" i="7"/>
  <c r="V58" i="7"/>
  <c r="V61" i="7"/>
  <c r="V69" i="7"/>
  <c r="P7" i="4" s="1" a="1"/>
  <c r="E7" i="4" a="1"/>
  <c r="E7" i="4" s="1"/>
  <c r="F7" i="4" a="1"/>
  <c r="F7" i="4" s="1"/>
  <c r="G7" i="4" a="1"/>
  <c r="G7" i="4" s="1"/>
  <c r="H7" i="4" a="1"/>
  <c r="H7" i="4" s="1"/>
  <c r="I7" i="4" a="1"/>
  <c r="I7" i="4" s="1"/>
  <c r="J7" i="4" a="1"/>
  <c r="J7" i="4" s="1"/>
  <c r="K7" i="4" a="1"/>
  <c r="K7" i="4" s="1"/>
  <c r="L7" i="4" a="1"/>
  <c r="L7" i="4" s="1"/>
  <c r="M7" i="4" a="1"/>
  <c r="M7" i="4" s="1"/>
  <c r="N7" i="4" a="1"/>
  <c r="N7" i="4" s="1"/>
  <c r="AC130" i="8"/>
  <c r="AC131" i="8" s="1"/>
  <c r="AB130" i="8"/>
  <c r="AB131" i="8" s="1"/>
  <c r="J18" i="18"/>
  <c r="K18" i="18"/>
  <c r="J19" i="18"/>
  <c r="J20" i="18"/>
  <c r="J21" i="18"/>
  <c r="J22" i="18"/>
  <c r="J23" i="18"/>
  <c r="J24" i="18"/>
  <c r="J25" i="18"/>
  <c r="J26" i="18"/>
  <c r="J27" i="18"/>
  <c r="J30" i="18"/>
  <c r="J38" i="18"/>
  <c r="J39" i="18" s="1"/>
  <c r="K19" i="18"/>
  <c r="K20" i="18"/>
  <c r="K21" i="18"/>
  <c r="K22" i="18"/>
  <c r="K23" i="18"/>
  <c r="K24" i="18"/>
  <c r="K25" i="18"/>
  <c r="K26" i="18"/>
  <c r="K27" i="18"/>
  <c r="I19" i="18"/>
  <c r="I22" i="18"/>
  <c r="I25" i="18"/>
  <c r="I27" i="18"/>
  <c r="D13" i="15"/>
  <c r="Z130" i="8"/>
  <c r="Z131" i="8" s="1"/>
  <c r="Y131" i="8"/>
  <c r="AA131" i="8"/>
  <c r="X131" i="8"/>
  <c r="X130" i="8"/>
  <c r="J16" i="18"/>
  <c r="I20" i="18"/>
  <c r="I21" i="18"/>
  <c r="I23" i="18"/>
  <c r="I24" i="18"/>
  <c r="I26" i="18"/>
  <c r="H26" i="18"/>
  <c r="H25" i="18"/>
  <c r="H24" i="18"/>
  <c r="H23" i="18"/>
  <c r="H22" i="18"/>
  <c r="H21" i="18"/>
  <c r="H19" i="18"/>
  <c r="H20" i="18"/>
  <c r="I18" i="18"/>
  <c r="H18" i="18"/>
  <c r="H38" i="18"/>
  <c r="H39" i="18" s="1"/>
  <c r="I38" i="18"/>
  <c r="I39" i="18" s="1"/>
  <c r="K38" i="18"/>
  <c r="K39" i="18"/>
  <c r="G37" i="18"/>
  <c r="G38" i="18" s="1"/>
  <c r="K16" i="18"/>
  <c r="I16" i="18"/>
  <c r="K15" i="18"/>
  <c r="J15" i="18"/>
  <c r="I15" i="18"/>
  <c r="K14" i="18"/>
  <c r="J14" i="18"/>
  <c r="I14" i="18"/>
  <c r="K47" i="4"/>
  <c r="K162" i="4"/>
  <c r="L162" i="4"/>
  <c r="M162" i="4"/>
  <c r="BG46" i="4"/>
  <c r="BG47" i="4" s="1"/>
  <c r="AU46" i="4"/>
  <c r="AU47" i="4" s="1"/>
  <c r="AI47" i="4"/>
  <c r="W47" i="4"/>
  <c r="AV47" i="4"/>
  <c r="AW47" i="4"/>
  <c r="AJ47" i="4"/>
  <c r="AH47" i="4"/>
  <c r="X47" i="4"/>
  <c r="Y47" i="4"/>
  <c r="V47" i="4"/>
  <c r="J47" i="4"/>
  <c r="L47" i="4"/>
  <c r="M47" i="4"/>
  <c r="BE47" i="4"/>
  <c r="BF47" i="4"/>
  <c r="AS47" i="4"/>
  <c r="AT47" i="4"/>
  <c r="H8" i="15"/>
  <c r="L6" i="15"/>
  <c r="I8" i="15"/>
  <c r="I5" i="15"/>
  <c r="U47" i="4"/>
  <c r="I47" i="4"/>
  <c r="AG47" i="4"/>
  <c r="H47" i="4"/>
  <c r="Q28" i="7"/>
  <c r="Q31" i="7" s="1"/>
  <c r="R28" i="7"/>
  <c r="S28" i="7"/>
  <c r="T28" i="7"/>
  <c r="U28" i="7"/>
  <c r="U32" i="7" s="1"/>
  <c r="P31" i="7"/>
  <c r="P30" i="7"/>
  <c r="T32" i="7"/>
  <c r="BH47" i="4"/>
  <c r="BI47" i="4"/>
  <c r="D19" i="15"/>
  <c r="G5" i="15"/>
  <c r="BC47" i="4"/>
  <c r="BB47" i="4"/>
  <c r="BA47" i="4"/>
  <c r="D16" i="15"/>
  <c r="D17" i="15" s="1"/>
  <c r="D18" i="15" s="1"/>
  <c r="D20" i="15"/>
  <c r="D21" i="15" s="1"/>
  <c r="D24" i="15" s="1"/>
  <c r="D25" i="15" s="1"/>
  <c r="F162" i="4"/>
  <c r="G162" i="4"/>
  <c r="H162" i="4"/>
  <c r="I162" i="4"/>
  <c r="J162" i="4"/>
  <c r="E162" i="4"/>
  <c r="Z70" i="4" l="1"/>
  <c r="AL49" i="4"/>
  <c r="Z68" i="4"/>
  <c r="Y67" i="4"/>
  <c r="Z67" i="4"/>
  <c r="Y59" i="4"/>
  <c r="Z59" i="4"/>
  <c r="Z58" i="4"/>
  <c r="Z63" i="4"/>
  <c r="Z65" i="4" s="1"/>
  <c r="V32" i="7"/>
  <c r="P35" i="4" s="1" a="1"/>
  <c r="P35" i="4" s="1"/>
  <c r="Z64" i="4"/>
  <c r="AX78" i="4"/>
  <c r="R31" i="6"/>
  <c r="R29" i="6" s="1"/>
  <c r="AK64" i="4"/>
  <c r="AL64" i="4"/>
  <c r="AL65" i="4" s="1"/>
  <c r="Y58" i="4"/>
  <c r="Y60" i="4"/>
  <c r="Z60" i="4"/>
  <c r="N106" i="4" s="1"/>
  <c r="P7" i="4"/>
  <c r="P49" i="4" s="1"/>
  <c r="P53" i="4"/>
  <c r="P54" i="4"/>
  <c r="BJ57" i="4"/>
  <c r="BJ55" i="4"/>
  <c r="BJ53" i="4"/>
  <c r="BJ52" i="4"/>
  <c r="BJ54" i="4"/>
  <c r="BJ56" i="4"/>
  <c r="N91" i="4"/>
  <c r="N50" i="4"/>
  <c r="N73" i="4"/>
  <c r="N51" i="4"/>
  <c r="N53" i="4"/>
  <c r="N54" i="4"/>
  <c r="N55" i="4"/>
  <c r="N67" i="4"/>
  <c r="N68" i="4"/>
  <c r="N70" i="4"/>
  <c r="N72" i="4"/>
  <c r="N63" i="4"/>
  <c r="N59" i="4"/>
  <c r="AX79" i="4"/>
  <c r="AX80" i="4"/>
  <c r="AX81" i="4"/>
  <c r="N58" i="4"/>
  <c r="AX77" i="4"/>
  <c r="N64" i="4"/>
  <c r="AX76" i="4"/>
  <c r="AX75" i="4"/>
  <c r="AL51" i="4"/>
  <c r="AL52" i="4"/>
  <c r="AL53" i="4"/>
  <c r="AL54" i="4"/>
  <c r="AL55" i="4"/>
  <c r="Z55" i="4"/>
  <c r="N149" i="4" s="1"/>
  <c r="Z54" i="4"/>
  <c r="N148" i="4" s="1"/>
  <c r="Z53" i="4"/>
  <c r="N147" i="4" s="1"/>
  <c r="Z52" i="4"/>
  <c r="N49" i="4"/>
  <c r="Z51" i="4"/>
  <c r="Z50" i="4"/>
  <c r="N52" i="4"/>
  <c r="Z49" i="4"/>
  <c r="P55" i="4"/>
  <c r="AL50" i="4"/>
  <c r="P52" i="4"/>
  <c r="P51" i="4"/>
  <c r="P50" i="4"/>
  <c r="AB55" i="4"/>
  <c r="AB54" i="4"/>
  <c r="AB53" i="4"/>
  <c r="AB52" i="4"/>
  <c r="AB51" i="4"/>
  <c r="AB50" i="4"/>
  <c r="AB56" i="4" s="1"/>
  <c r="R37" i="6"/>
  <c r="R36" i="6"/>
  <c r="R35" i="6"/>
  <c r="R34" i="6"/>
  <c r="H30" i="18"/>
  <c r="K30" i="18"/>
  <c r="G39" i="18"/>
  <c r="I30" i="18"/>
  <c r="S32" i="7"/>
  <c r="R32" i="7"/>
  <c r="Q32" i="7"/>
  <c r="Q29" i="7" s="1"/>
  <c r="Q30" i="7" s="1"/>
  <c r="Q33" i="7" s="1"/>
  <c r="H5" i="15"/>
  <c r="D14" i="15"/>
  <c r="D26" i="15"/>
  <c r="AR47" i="4"/>
  <c r="BD46" i="4"/>
  <c r="BD47" i="4" s="1"/>
  <c r="AQ47" i="4"/>
  <c r="AF47" i="4"/>
  <c r="AE47" i="4"/>
  <c r="T47" i="4"/>
  <c r="G47" i="4"/>
  <c r="AP47" i="4"/>
  <c r="AO47" i="4"/>
  <c r="S47" i="4"/>
  <c r="R47" i="4"/>
  <c r="Q47" i="4"/>
  <c r="O23" i="7"/>
  <c r="F47" i="4"/>
  <c r="E47" i="4"/>
  <c r="AD47" i="4"/>
  <c r="P56" i="4" l="1"/>
  <c r="N121" i="4"/>
  <c r="N160" i="4"/>
  <c r="Z61" i="4"/>
  <c r="N100" i="4"/>
  <c r="N102" i="4" s="1"/>
  <c r="N108" i="4"/>
  <c r="N114" i="4" s="1"/>
  <c r="V29" i="7"/>
  <c r="V30" i="7" s="1"/>
  <c r="V33" i="7" s="1"/>
  <c r="R30" i="6"/>
  <c r="R33" i="6" s="1"/>
  <c r="R38" i="6"/>
  <c r="Y61" i="4"/>
  <c r="AL56" i="4"/>
  <c r="N99" i="4"/>
  <c r="N101" i="4" s="1"/>
  <c r="N61" i="4"/>
  <c r="N94" i="4"/>
  <c r="N65" i="4"/>
  <c r="N111" i="4"/>
  <c r="N117" i="4" s="1"/>
  <c r="N143" i="4"/>
  <c r="Z56" i="4"/>
  <c r="N144" i="4"/>
  <c r="N145" i="4"/>
  <c r="N56" i="4"/>
  <c r="N146" i="4"/>
  <c r="BD73" i="4"/>
  <c r="N103" i="4" l="1"/>
  <c r="N104" i="4" s="1"/>
  <c r="P33" i="4" a="1"/>
  <c r="AB33" i="4" a="1"/>
  <c r="AB33" i="4" s="1"/>
  <c r="AL72" i="4"/>
  <c r="EP21" i="5"/>
  <c r="CM21" i="5"/>
  <c r="CL21" i="5"/>
  <c r="CN21" i="5"/>
  <c r="CO21" i="5"/>
  <c r="I81" i="4"/>
  <c r="I82" i="4"/>
  <c r="I76" i="4"/>
  <c r="I77" i="4"/>
  <c r="I78" i="4"/>
  <c r="I79" i="4"/>
  <c r="I80" i="4"/>
  <c r="I75" i="4"/>
  <c r="CV21" i="5"/>
  <c r="CM17" i="5"/>
  <c r="AC47" i="4"/>
  <c r="AF70" i="4"/>
  <c r="AG70" i="4"/>
  <c r="AH67" i="4"/>
  <c r="AI68" i="4"/>
  <c r="AK67" i="4"/>
  <c r="BA37" i="4" a="1"/>
  <c r="BB37" i="4" a="1"/>
  <c r="BC37" i="4" a="1"/>
  <c r="BC52" i="4" s="1"/>
  <c r="BD37" i="4" a="1"/>
  <c r="BD52" i="4" s="1"/>
  <c r="BE37" i="4" a="1"/>
  <c r="BF37" i="4" a="1"/>
  <c r="BG37" i="4" a="1"/>
  <c r="BH37" i="4" a="1"/>
  <c r="BI37" i="4" a="1"/>
  <c r="AZ37" i="4" a="1"/>
  <c r="AO37" i="4" a="1"/>
  <c r="AP37" i="4" a="1"/>
  <c r="AQ37" i="4" a="1"/>
  <c r="AQ37" i="4" s="1"/>
  <c r="AQ75" i="4" s="1"/>
  <c r="AR37" i="4" a="1"/>
  <c r="AS37" i="4" a="1"/>
  <c r="AS37" i="4" s="1"/>
  <c r="AT37" i="4" a="1"/>
  <c r="AT37" i="4" s="1"/>
  <c r="AU37" i="4" a="1"/>
  <c r="AU37" i="4" s="1"/>
  <c r="AV37" i="4" a="1"/>
  <c r="AV37" i="4" s="1"/>
  <c r="AW37" i="4" a="1"/>
  <c r="AW37" i="4" s="1"/>
  <c r="AN37" i="4" a="1"/>
  <c r="D28" i="4" a="1"/>
  <c r="D28" i="4" s="1"/>
  <c r="E23" i="4"/>
  <c r="F23" i="4"/>
  <c r="G23" i="4"/>
  <c r="H23" i="4"/>
  <c r="I23" i="4"/>
  <c r="J23" i="4"/>
  <c r="K23" i="4"/>
  <c r="L23" i="4"/>
  <c r="M23" i="4"/>
  <c r="E24" i="4"/>
  <c r="F24" i="4"/>
  <c r="G24" i="4"/>
  <c r="H24" i="4"/>
  <c r="I24" i="4"/>
  <c r="J24" i="4"/>
  <c r="K24" i="4"/>
  <c r="L24" i="4"/>
  <c r="M24" i="4"/>
  <c r="D26" i="4"/>
  <c r="D24" i="4"/>
  <c r="D23" i="4"/>
  <c r="D21" i="4"/>
  <c r="D20" i="4"/>
  <c r="Q60" i="6"/>
  <c r="Q61" i="6" s="1"/>
  <c r="Q28" i="6"/>
  <c r="Q37" i="6" s="1"/>
  <c r="Q23" i="6"/>
  <c r="P60" i="6"/>
  <c r="P61" i="6" s="1"/>
  <c r="P28" i="6"/>
  <c r="P37" i="6" s="1"/>
  <c r="P23" i="6"/>
  <c r="O60" i="6"/>
  <c r="O61" i="6" s="1"/>
  <c r="O28" i="6"/>
  <c r="O37" i="6" s="1"/>
  <c r="O23" i="6"/>
  <c r="U69" i="7"/>
  <c r="U58" i="7"/>
  <c r="U57" i="7"/>
  <c r="U56" i="7"/>
  <c r="U55" i="7"/>
  <c r="U54" i="7"/>
  <c r="U53" i="7"/>
  <c r="U52" i="7"/>
  <c r="U51" i="7"/>
  <c r="U50" i="7"/>
  <c r="U49" i="7"/>
  <c r="U47" i="7"/>
  <c r="U46" i="7"/>
  <c r="U45" i="7"/>
  <c r="U23" i="7"/>
  <c r="U31" i="7" s="1"/>
  <c r="U29" i="7" s="1"/>
  <c r="U30" i="7" s="1"/>
  <c r="U33" i="7" s="1"/>
  <c r="T69" i="7"/>
  <c r="T58" i="7"/>
  <c r="T57" i="7"/>
  <c r="T56" i="7"/>
  <c r="T55" i="7"/>
  <c r="T54" i="7"/>
  <c r="T53" i="7"/>
  <c r="T52" i="7"/>
  <c r="T51" i="7"/>
  <c r="T50" i="7"/>
  <c r="T49" i="7"/>
  <c r="T47" i="7"/>
  <c r="T46" i="7"/>
  <c r="T45" i="7"/>
  <c r="T23" i="7"/>
  <c r="T31" i="7" s="1"/>
  <c r="T29" i="7" s="1"/>
  <c r="T30" i="7" s="1"/>
  <c r="T33" i="7" s="1"/>
  <c r="S69" i="7"/>
  <c r="S58" i="7"/>
  <c r="S57" i="7"/>
  <c r="S56" i="7"/>
  <c r="S55" i="7"/>
  <c r="S54" i="7"/>
  <c r="S53" i="7"/>
  <c r="S52" i="7"/>
  <c r="S51" i="7"/>
  <c r="S50" i="7"/>
  <c r="S49" i="7"/>
  <c r="S47" i="7"/>
  <c r="S46" i="7"/>
  <c r="S45" i="7"/>
  <c r="S23" i="7"/>
  <c r="S31" i="7" s="1"/>
  <c r="S29" i="7" s="1"/>
  <c r="S30" i="7" s="1"/>
  <c r="S33" i="7" s="1"/>
  <c r="D18" i="4"/>
  <c r="D16" i="4" a="1"/>
  <c r="D16" i="4" s="1"/>
  <c r="R69" i="7"/>
  <c r="Q69" i="7"/>
  <c r="P69" i="7"/>
  <c r="P70" i="7" s="1"/>
  <c r="O69" i="7"/>
  <c r="O70" i="7" s="1"/>
  <c r="N69" i="7"/>
  <c r="N70" i="7" s="1"/>
  <c r="M69" i="7"/>
  <c r="M70" i="7" s="1"/>
  <c r="L69" i="7"/>
  <c r="L70" i="7" s="1"/>
  <c r="K69" i="7"/>
  <c r="K70" i="7" s="1"/>
  <c r="J69" i="7"/>
  <c r="J70" i="7" s="1"/>
  <c r="I69" i="7"/>
  <c r="I70" i="7" s="1"/>
  <c r="H69" i="7"/>
  <c r="H70" i="7" s="1"/>
  <c r="G68" i="7"/>
  <c r="J61" i="7" s="1"/>
  <c r="R58" i="7"/>
  <c r="Q58" i="7"/>
  <c r="P58" i="7"/>
  <c r="O58" i="7"/>
  <c r="N58" i="7"/>
  <c r="R57" i="7"/>
  <c r="Q57" i="7"/>
  <c r="P57" i="7"/>
  <c r="O57" i="7"/>
  <c r="N57" i="7"/>
  <c r="M57" i="7"/>
  <c r="L57" i="7"/>
  <c r="R56" i="7"/>
  <c r="Q56" i="7"/>
  <c r="P56" i="7"/>
  <c r="O56" i="7"/>
  <c r="N56" i="7"/>
  <c r="M56" i="7"/>
  <c r="L56" i="7"/>
  <c r="K56" i="7"/>
  <c r="J56" i="7"/>
  <c r="R55" i="7"/>
  <c r="Q55" i="7"/>
  <c r="P55" i="7"/>
  <c r="O55" i="7"/>
  <c r="N55" i="7"/>
  <c r="M55" i="7"/>
  <c r="L55" i="7"/>
  <c r="K55" i="7"/>
  <c r="J55" i="7"/>
  <c r="R54" i="7"/>
  <c r="Q54" i="7"/>
  <c r="P54" i="7"/>
  <c r="O54" i="7"/>
  <c r="N54" i="7"/>
  <c r="M54" i="7"/>
  <c r="L54" i="7"/>
  <c r="K54" i="7"/>
  <c r="J54" i="7"/>
  <c r="R53" i="7"/>
  <c r="Q53" i="7"/>
  <c r="P53" i="7"/>
  <c r="O53" i="7"/>
  <c r="N53" i="7"/>
  <c r="M53" i="7"/>
  <c r="L53" i="7"/>
  <c r="K53" i="7"/>
  <c r="J53" i="7"/>
  <c r="R52" i="7"/>
  <c r="Q52" i="7"/>
  <c r="P52" i="7"/>
  <c r="O52" i="7"/>
  <c r="N52" i="7"/>
  <c r="M52" i="7"/>
  <c r="L52" i="7"/>
  <c r="K52" i="7"/>
  <c r="J52" i="7"/>
  <c r="R51" i="7"/>
  <c r="Q51" i="7"/>
  <c r="P51" i="7"/>
  <c r="O51" i="7"/>
  <c r="N51" i="7"/>
  <c r="M51" i="7"/>
  <c r="L51" i="7"/>
  <c r="K51" i="7"/>
  <c r="J51" i="7"/>
  <c r="R50" i="7"/>
  <c r="Q50" i="7"/>
  <c r="P50" i="7"/>
  <c r="O50" i="7"/>
  <c r="N50" i="7"/>
  <c r="M50" i="7"/>
  <c r="L50" i="7"/>
  <c r="K50" i="7"/>
  <c r="J50" i="7"/>
  <c r="R49" i="7"/>
  <c r="Q49" i="7"/>
  <c r="P49" i="7"/>
  <c r="O49" i="7"/>
  <c r="N49" i="7"/>
  <c r="M49" i="7"/>
  <c r="L49" i="7"/>
  <c r="K49" i="7"/>
  <c r="J49" i="7"/>
  <c r="R47" i="7"/>
  <c r="Q47" i="7"/>
  <c r="P47" i="7"/>
  <c r="O47" i="7"/>
  <c r="N47" i="7"/>
  <c r="M47" i="7"/>
  <c r="L47" i="7"/>
  <c r="K47" i="7"/>
  <c r="J47" i="7"/>
  <c r="I47" i="7"/>
  <c r="R46" i="7"/>
  <c r="Q46" i="7"/>
  <c r="P46" i="7"/>
  <c r="O46" i="7"/>
  <c r="N46" i="7"/>
  <c r="M46" i="7"/>
  <c r="L46" i="7"/>
  <c r="K46" i="7"/>
  <c r="J46" i="7"/>
  <c r="I46" i="7"/>
  <c r="R45" i="7"/>
  <c r="Q45" i="7"/>
  <c r="P45" i="7"/>
  <c r="O45" i="7"/>
  <c r="N45" i="7"/>
  <c r="M45" i="7"/>
  <c r="L45" i="7"/>
  <c r="K45" i="7"/>
  <c r="J45" i="7"/>
  <c r="I45" i="7"/>
  <c r="P28" i="7"/>
  <c r="P36" i="7" s="1"/>
  <c r="O28" i="7"/>
  <c r="O36" i="7" s="1"/>
  <c r="N28" i="7"/>
  <c r="N37" i="7" s="1"/>
  <c r="M28" i="7"/>
  <c r="M37" i="7" s="1"/>
  <c r="L28" i="7"/>
  <c r="L36" i="7" s="1"/>
  <c r="K28" i="7"/>
  <c r="K36" i="7" s="1"/>
  <c r="J28" i="7"/>
  <c r="J37" i="7" s="1"/>
  <c r="I28" i="7"/>
  <c r="I36" i="7" s="1"/>
  <c r="H28" i="7"/>
  <c r="H37" i="7" s="1"/>
  <c r="G28" i="7"/>
  <c r="G37" i="7" s="1"/>
  <c r="R23" i="7"/>
  <c r="R31" i="7" s="1"/>
  <c r="R29" i="7" s="1"/>
  <c r="R30" i="7" s="1"/>
  <c r="R33" i="7" s="1"/>
  <c r="Q23" i="7"/>
  <c r="P23" i="7"/>
  <c r="N23" i="7"/>
  <c r="M23" i="7"/>
  <c r="K23" i="7"/>
  <c r="J23" i="7"/>
  <c r="I23" i="7"/>
  <c r="H23" i="7"/>
  <c r="J61" i="6"/>
  <c r="I61" i="6"/>
  <c r="H61" i="6"/>
  <c r="N60" i="6"/>
  <c r="N61" i="6" s="1"/>
  <c r="M60" i="6"/>
  <c r="M61" i="6" s="1"/>
  <c r="L60" i="6"/>
  <c r="L61" i="6" s="1"/>
  <c r="K60" i="6"/>
  <c r="K61" i="6" s="1"/>
  <c r="J60" i="6"/>
  <c r="I60" i="6"/>
  <c r="H60" i="6"/>
  <c r="G59" i="6"/>
  <c r="G60" i="6" s="1"/>
  <c r="G61" i="6" s="1"/>
  <c r="L37" i="6"/>
  <c r="J37" i="6"/>
  <c r="I37" i="6"/>
  <c r="H37" i="6"/>
  <c r="L35" i="6"/>
  <c r="K35" i="6"/>
  <c r="K38" i="6" s="1"/>
  <c r="J35" i="6"/>
  <c r="J38" i="6" s="1"/>
  <c r="I35" i="6"/>
  <c r="I38" i="6" s="1"/>
  <c r="H35" i="6"/>
  <c r="H38" i="6" s="1"/>
  <c r="G35" i="6"/>
  <c r="L34" i="6"/>
  <c r="L32" i="6"/>
  <c r="J32" i="6"/>
  <c r="I32" i="6"/>
  <c r="H32" i="6"/>
  <c r="N28" i="6"/>
  <c r="N36" i="6" s="1"/>
  <c r="M28" i="6"/>
  <c r="M36" i="6" s="1"/>
  <c r="L28" i="6"/>
  <c r="L36" i="6" s="1"/>
  <c r="K28" i="6"/>
  <c r="K34" i="6" s="1"/>
  <c r="J28" i="6"/>
  <c r="J34" i="6" s="1"/>
  <c r="I28" i="6"/>
  <c r="I34" i="6" s="1"/>
  <c r="H28" i="6"/>
  <c r="H34" i="6" s="1"/>
  <c r="G28" i="6"/>
  <c r="G37" i="6" s="1"/>
  <c r="N23" i="6"/>
  <c r="M23" i="6"/>
  <c r="L23" i="6"/>
  <c r="L31" i="6" s="1"/>
  <c r="K23" i="6"/>
  <c r="J23" i="6"/>
  <c r="J31" i="6" s="1"/>
  <c r="J29" i="6" s="1"/>
  <c r="J30" i="6" s="1"/>
  <c r="J33" i="6" s="1"/>
  <c r="I23" i="6"/>
  <c r="I31" i="6" s="1"/>
  <c r="I29" i="6" s="1"/>
  <c r="I30" i="6" s="1"/>
  <c r="I33" i="6" s="1"/>
  <c r="DN26" i="5"/>
  <c r="DM26" i="5"/>
  <c r="DS26" i="5" s="1"/>
  <c r="DL26" i="5"/>
  <c r="DR26" i="5" s="1"/>
  <c r="DK26" i="5"/>
  <c r="DQ26" i="5" s="1"/>
  <c r="DJ26" i="5"/>
  <c r="DP26" i="5" s="1"/>
  <c r="DH26" i="5"/>
  <c r="DA26" i="5"/>
  <c r="DI26" i="5" s="1"/>
  <c r="DO26" i="5" s="1"/>
  <c r="CM26" i="5"/>
  <c r="CL26" i="5"/>
  <c r="CD26" i="5"/>
  <c r="CA26" i="5"/>
  <c r="BZ26" i="5"/>
  <c r="BW26" i="5"/>
  <c r="BO26" i="5"/>
  <c r="BE26" i="5"/>
  <c r="BV26" i="5" s="1"/>
  <c r="AT26" i="5"/>
  <c r="AS26" i="5"/>
  <c r="AP26" i="5"/>
  <c r="AN26" i="5"/>
  <c r="AM26" i="5"/>
  <c r="AH26" i="5"/>
  <c r="T26" i="5"/>
  <c r="E26" i="5"/>
  <c r="DN25" i="5"/>
  <c r="DM25" i="5"/>
  <c r="DS25" i="5" s="1"/>
  <c r="DL25" i="5"/>
  <c r="DR25" i="5" s="1"/>
  <c r="DK25" i="5"/>
  <c r="DQ25" i="5" s="1"/>
  <c r="DJ25" i="5"/>
  <c r="DP25" i="5" s="1"/>
  <c r="DH25" i="5"/>
  <c r="DA25" i="5"/>
  <c r="DI25" i="5" s="1"/>
  <c r="DO25" i="5" s="1"/>
  <c r="CM25" i="5"/>
  <c r="CN25" i="5" s="1"/>
  <c r="CD25" i="5"/>
  <c r="CA25" i="5"/>
  <c r="BZ25" i="5"/>
  <c r="BW25" i="5"/>
  <c r="BO25" i="5"/>
  <c r="BE25" i="5"/>
  <c r="BV25" i="5" s="1"/>
  <c r="AT25" i="5"/>
  <c r="AS25" i="5"/>
  <c r="AP25" i="5"/>
  <c r="AN25" i="5"/>
  <c r="AM25" i="5"/>
  <c r="AH25" i="5"/>
  <c r="T25" i="5"/>
  <c r="E25" i="5"/>
  <c r="J25" i="5" s="1"/>
  <c r="EG25" i="5" s="1"/>
  <c r="DN24" i="5"/>
  <c r="DM24" i="5"/>
  <c r="DS24" i="5" s="1"/>
  <c r="DL24" i="5"/>
  <c r="DR24" i="5" s="1"/>
  <c r="DK24" i="5"/>
  <c r="DQ24" i="5" s="1"/>
  <c r="DJ24" i="5"/>
  <c r="DP24" i="5" s="1"/>
  <c r="DH24" i="5"/>
  <c r="DA24" i="5"/>
  <c r="DI24" i="5" s="1"/>
  <c r="DO24" i="5" s="1"/>
  <c r="CD24" i="5"/>
  <c r="CA24" i="5"/>
  <c r="BZ24" i="5"/>
  <c r="BW24" i="5"/>
  <c r="BP24" i="5"/>
  <c r="BO24" i="5"/>
  <c r="BN24" i="5"/>
  <c r="BE24" i="5"/>
  <c r="BV24" i="5" s="1"/>
  <c r="AT24" i="5"/>
  <c r="AS24" i="5"/>
  <c r="AP24" i="5"/>
  <c r="AN24" i="5"/>
  <c r="AM24" i="5"/>
  <c r="AH24" i="5"/>
  <c r="T24" i="5"/>
  <c r="E24" i="5"/>
  <c r="DN23" i="5"/>
  <c r="DM23" i="5"/>
  <c r="DS23" i="5" s="1"/>
  <c r="DL23" i="5"/>
  <c r="DR23" i="5" s="1"/>
  <c r="DK23" i="5"/>
  <c r="DQ23" i="5" s="1"/>
  <c r="DJ23" i="5"/>
  <c r="DP23" i="5" s="1"/>
  <c r="DH23" i="5"/>
  <c r="DA23" i="5"/>
  <c r="DI23" i="5" s="1"/>
  <c r="DO23" i="5" s="1"/>
  <c r="CM23" i="5"/>
  <c r="CN23" i="5" s="1"/>
  <c r="CD23" i="5"/>
  <c r="CA23" i="5"/>
  <c r="BZ23" i="5"/>
  <c r="BW23" i="5"/>
  <c r="BP23" i="5"/>
  <c r="BO23" i="5"/>
  <c r="BN23" i="5"/>
  <c r="BE23" i="5"/>
  <c r="BV23" i="5" s="1"/>
  <c r="AT23" i="5"/>
  <c r="AS23" i="5"/>
  <c r="AP23" i="5"/>
  <c r="AN23" i="5"/>
  <c r="AM23" i="5"/>
  <c r="AH23" i="5"/>
  <c r="T23" i="5"/>
  <c r="J23" i="5"/>
  <c r="I23" i="5"/>
  <c r="H23" i="5"/>
  <c r="E23" i="5"/>
  <c r="DN22" i="5"/>
  <c r="DM22" i="5"/>
  <c r="DS22" i="5" s="1"/>
  <c r="DL22" i="5"/>
  <c r="DR22" i="5" s="1"/>
  <c r="DJ22" i="5"/>
  <c r="DP22" i="5" s="1"/>
  <c r="DH22" i="5"/>
  <c r="CZ22" i="5"/>
  <c r="DA22" i="5" s="1"/>
  <c r="CD22" i="5"/>
  <c r="CL22" i="5" s="1"/>
  <c r="CC22" i="5"/>
  <c r="CA22" i="5"/>
  <c r="BR22" i="5"/>
  <c r="BQ22" i="5"/>
  <c r="BP22" i="5"/>
  <c r="BM22" i="5"/>
  <c r="BE22" i="5"/>
  <c r="BZ22" i="5" s="1"/>
  <c r="AX22" i="5"/>
  <c r="AV22" i="5"/>
  <c r="AT22" i="5"/>
  <c r="AS22" i="5"/>
  <c r="AP22" i="5"/>
  <c r="AM22" i="5"/>
  <c r="T22" i="5"/>
  <c r="Q22" i="5"/>
  <c r="P22" i="5"/>
  <c r="O22" i="5"/>
  <c r="N22" i="5"/>
  <c r="M22" i="5"/>
  <c r="L22" i="5"/>
  <c r="K22" i="5"/>
  <c r="J22" i="5"/>
  <c r="I22" i="5"/>
  <c r="H22" i="5"/>
  <c r="E22" i="5"/>
  <c r="F22" i="5" s="1"/>
  <c r="G22" i="5" s="1"/>
  <c r="DA21" i="5"/>
  <c r="DM21" i="5" s="1"/>
  <c r="DS21" i="5" s="1"/>
  <c r="DY21" i="5" s="1"/>
  <c r="CZ21" i="5"/>
  <c r="CW21" i="5"/>
  <c r="CU21" i="5"/>
  <c r="CS21" i="5"/>
  <c r="CT21" i="5" s="1"/>
  <c r="CD21" i="5"/>
  <c r="CQ21" i="5" s="1"/>
  <c r="CC21" i="5"/>
  <c r="CA21" i="5"/>
  <c r="BZ21" i="5"/>
  <c r="BW21" i="5"/>
  <c r="BV21" i="5"/>
  <c r="BR21" i="5"/>
  <c r="BQ21" i="5"/>
  <c r="BP21" i="5"/>
  <c r="BO21" i="5"/>
  <c r="BN21" i="5"/>
  <c r="BM21" i="5"/>
  <c r="BL21" i="5"/>
  <c r="BS21" i="5" s="1"/>
  <c r="BE21" i="5"/>
  <c r="AF21" i="5"/>
  <c r="AE21" i="5"/>
  <c r="AD21" i="5"/>
  <c r="T21" i="5"/>
  <c r="AC21" i="5" s="1"/>
  <c r="Q21" i="5"/>
  <c r="EI21" i="5" s="1"/>
  <c r="E21" i="5"/>
  <c r="P21" i="5" s="1"/>
  <c r="EH21" i="5" s="1"/>
  <c r="FJ21" i="5" s="1"/>
  <c r="FK21" i="5" s="1"/>
  <c r="FD19" i="5"/>
  <c r="FE19" i="5" s="1"/>
  <c r="FF19" i="5" s="1"/>
  <c r="FA19" i="5"/>
  <c r="FB19" i="5" s="1"/>
  <c r="FC19" i="5" s="1"/>
  <c r="EX19" i="5"/>
  <c r="EY19" i="5" s="1"/>
  <c r="EZ19" i="5" s="1"/>
  <c r="DS19" i="5"/>
  <c r="DR19" i="5"/>
  <c r="DQ19" i="5"/>
  <c r="DP19" i="5"/>
  <c r="DO19" i="5"/>
  <c r="DN19" i="5"/>
  <c r="DM19" i="5"/>
  <c r="DL19" i="5"/>
  <c r="DK19" i="5"/>
  <c r="DJ19" i="5"/>
  <c r="DI19" i="5"/>
  <c r="DH19" i="5"/>
  <c r="CW19" i="5"/>
  <c r="FG19" i="5" s="1"/>
  <c r="FH19" i="5" s="1"/>
  <c r="FI19" i="5" s="1"/>
  <c r="CU19" i="5"/>
  <c r="CV19" i="5" s="1"/>
  <c r="CS19" i="5"/>
  <c r="CT19" i="5" s="1"/>
  <c r="CQ19" i="5"/>
  <c r="CR19" i="5" s="1"/>
  <c r="CP19" i="5"/>
  <c r="CO19" i="5"/>
  <c r="EU19" i="5" s="1"/>
  <c r="EV19" i="5" s="1"/>
  <c r="EW19" i="5" s="1"/>
  <c r="CM19" i="5"/>
  <c r="CN19" i="5" s="1"/>
  <c r="CL19" i="5"/>
  <c r="BE19" i="5"/>
  <c r="T19" i="5"/>
  <c r="AD19" i="5" s="1"/>
  <c r="Q19" i="5"/>
  <c r="P19" i="5"/>
  <c r="O19" i="5"/>
  <c r="I19" i="5"/>
  <c r="E19" i="5"/>
  <c r="N19" i="5" s="1"/>
  <c r="FD18" i="5"/>
  <c r="FE18" i="5" s="1"/>
  <c r="FF18" i="5" s="1"/>
  <c r="FA18" i="5"/>
  <c r="FB18" i="5" s="1"/>
  <c r="FC18" i="5" s="1"/>
  <c r="EX18" i="5"/>
  <c r="EY18" i="5" s="1"/>
  <c r="EZ18" i="5" s="1"/>
  <c r="EV18" i="5"/>
  <c r="EW18" i="5" s="1"/>
  <c r="DH18" i="5"/>
  <c r="DA18" i="5"/>
  <c r="DM18" i="5" s="1"/>
  <c r="CW18" i="5"/>
  <c r="CX18" i="5" s="1"/>
  <c r="CV18" i="5"/>
  <c r="CU18" i="5"/>
  <c r="CT18" i="5"/>
  <c r="CS18" i="5"/>
  <c r="CQ18" i="5"/>
  <c r="CR18" i="5" s="1"/>
  <c r="CO18" i="5"/>
  <c r="EU18" i="5" s="1"/>
  <c r="CM18" i="5"/>
  <c r="ER18" i="5" s="1"/>
  <c r="ES18" i="5" s="1"/>
  <c r="ET18" i="5" s="1"/>
  <c r="CL18" i="5"/>
  <c r="CD18" i="5"/>
  <c r="BV18" i="5"/>
  <c r="BS18" i="5"/>
  <c r="BR18" i="5"/>
  <c r="BO18" i="5"/>
  <c r="BM18" i="5"/>
  <c r="BE18" i="5"/>
  <c r="CA18" i="5" s="1"/>
  <c r="BB18" i="5"/>
  <c r="BA18" i="5"/>
  <c r="AX18" i="5"/>
  <c r="AT18" i="5"/>
  <c r="AS18" i="5"/>
  <c r="AP18" i="5"/>
  <c r="T18" i="5"/>
  <c r="Q18" i="5"/>
  <c r="P18" i="5"/>
  <c r="O18" i="5"/>
  <c r="N18" i="5"/>
  <c r="M18" i="5"/>
  <c r="EJ18" i="5" s="1"/>
  <c r="L18" i="5"/>
  <c r="K18" i="5"/>
  <c r="J18" i="5"/>
  <c r="I18" i="5"/>
  <c r="F18" i="5"/>
  <c r="E18" i="5"/>
  <c r="H18" i="5" s="1"/>
  <c r="DM17" i="5"/>
  <c r="DL17" i="5"/>
  <c r="DK17" i="5"/>
  <c r="DJ17" i="5"/>
  <c r="DI17" i="5"/>
  <c r="DH17" i="5"/>
  <c r="DA17" i="5"/>
  <c r="CD17" i="5"/>
  <c r="CA17" i="5"/>
  <c r="BZ17" i="5"/>
  <c r="BW17" i="5"/>
  <c r="BV17" i="5"/>
  <c r="BS17" i="5"/>
  <c r="BM17" i="5"/>
  <c r="BE17" i="5"/>
  <c r="BR17" i="5" s="1"/>
  <c r="FT17" i="5" s="1"/>
  <c r="BB21" i="5"/>
  <c r="BA17" i="5"/>
  <c r="BA19" i="5"/>
  <c r="AV18" i="5"/>
  <c r="AT17" i="5"/>
  <c r="AS17" i="5"/>
  <c r="AP17" i="5"/>
  <c r="AN18" i="5"/>
  <c r="AL22" i="5"/>
  <c r="AH17" i="5"/>
  <c r="AG17" i="5"/>
  <c r="AF17" i="5"/>
  <c r="AE17" i="5"/>
  <c r="AD17" i="5"/>
  <c r="AC17" i="5"/>
  <c r="AG26" i="5"/>
  <c r="T17" i="5"/>
  <c r="E17" i="5"/>
  <c r="I10" i="5"/>
  <c r="I8" i="5"/>
  <c r="I5" i="5"/>
  <c r="I6" i="5" s="1"/>
  <c r="P33" i="4" l="1"/>
  <c r="Z72" i="4"/>
  <c r="Z73" i="4"/>
  <c r="Z91" i="4" s="1"/>
  <c r="AL73" i="4"/>
  <c r="AL91" i="4" s="1"/>
  <c r="AX85" i="4"/>
  <c r="AX92" i="4" s="1"/>
  <c r="AX90" i="4"/>
  <c r="AX97" i="4" s="1"/>
  <c r="AX89" i="4"/>
  <c r="AX96" i="4" s="1"/>
  <c r="AX88" i="4"/>
  <c r="AX95" i="4" s="1"/>
  <c r="AX87" i="4"/>
  <c r="AX94" i="4" s="1"/>
  <c r="AX86" i="4"/>
  <c r="AX93" i="4" s="1"/>
  <c r="AZ76" i="4"/>
  <c r="BE85" i="4"/>
  <c r="AZ85" i="4"/>
  <c r="BJ76" i="4"/>
  <c r="BJ85" i="4" s="1"/>
  <c r="AZ81" i="4"/>
  <c r="AZ90" i="4" s="1"/>
  <c r="BJ81" i="4"/>
  <c r="BJ90" i="4" s="1"/>
  <c r="AZ80" i="4"/>
  <c r="BD89" i="4"/>
  <c r="BJ80" i="4"/>
  <c r="AZ79" i="4"/>
  <c r="BJ79" i="4"/>
  <c r="AZ78" i="4"/>
  <c r="BJ78" i="4"/>
  <c r="AZ77" i="4"/>
  <c r="AZ86" i="4"/>
  <c r="BJ77" i="4"/>
  <c r="BJ86" i="4" s="1"/>
  <c r="N142" i="4"/>
  <c r="G31" i="4"/>
  <c r="H31" i="4"/>
  <c r="I31" i="4"/>
  <c r="J31" i="4"/>
  <c r="K31" i="4"/>
  <c r="E31" i="4"/>
  <c r="F31" i="4"/>
  <c r="L31" i="4"/>
  <c r="M31" i="4"/>
  <c r="N31" i="4"/>
  <c r="N141" i="4"/>
  <c r="N115" i="4"/>
  <c r="N116" i="4" s="1"/>
  <c r="BD76" i="4"/>
  <c r="AN37" i="4"/>
  <c r="AN75" i="4" s="1"/>
  <c r="AN79" i="4"/>
  <c r="AN88" i="4" s="1"/>
  <c r="AN80" i="4"/>
  <c r="AN89" i="4" s="1"/>
  <c r="AN81" i="4"/>
  <c r="AN90" i="4" s="1"/>
  <c r="AN76" i="4"/>
  <c r="AN78" i="4"/>
  <c r="AN77" i="4"/>
  <c r="BI54" i="4"/>
  <c r="BI78" i="4" s="1"/>
  <c r="BI52" i="4"/>
  <c r="BI76" i="4" s="1"/>
  <c r="BI53" i="4"/>
  <c r="BI77" i="4" s="1"/>
  <c r="BC76" i="4"/>
  <c r="N118" i="4"/>
  <c r="N119" i="4" s="1"/>
  <c r="Q31" i="6"/>
  <c r="P31" i="6"/>
  <c r="O31" i="6"/>
  <c r="N32" i="6"/>
  <c r="N35" i="6"/>
  <c r="N37" i="6"/>
  <c r="N34" i="6"/>
  <c r="N31" i="6"/>
  <c r="N29" i="6" s="1"/>
  <c r="N30" i="6" s="1"/>
  <c r="N33" i="6" s="1"/>
  <c r="M34" i="6"/>
  <c r="M32" i="6"/>
  <c r="M35" i="6"/>
  <c r="M38" i="6" s="1"/>
  <c r="M31" i="6"/>
  <c r="M37" i="6"/>
  <c r="M29" i="6"/>
  <c r="M30" i="6" s="1"/>
  <c r="M33" i="6" s="1"/>
  <c r="P64" i="4"/>
  <c r="R61" i="7"/>
  <c r="U61" i="7"/>
  <c r="T61" i="7"/>
  <c r="Q61" i="7"/>
  <c r="S61" i="7"/>
  <c r="AW75" i="4"/>
  <c r="AV75" i="4"/>
  <c r="BA55" i="4"/>
  <c r="BA79" i="4" s="1"/>
  <c r="BA88" i="4" s="1"/>
  <c r="BA52" i="4"/>
  <c r="BA76" i="4" s="1"/>
  <c r="BA57" i="4"/>
  <c r="BA81" i="4" s="1"/>
  <c r="BA56" i="4"/>
  <c r="BA80" i="4" s="1"/>
  <c r="BA54" i="4"/>
  <c r="BA78" i="4" s="1"/>
  <c r="BA53" i="4"/>
  <c r="AU75" i="4"/>
  <c r="AS75" i="4"/>
  <c r="BF37" i="4"/>
  <c r="BF52" i="4"/>
  <c r="BF76" i="4" s="1"/>
  <c r="BF54" i="4"/>
  <c r="BF78" i="4" s="1"/>
  <c r="BF87" i="4" s="1"/>
  <c r="BF55" i="4"/>
  <c r="BF56" i="4"/>
  <c r="BF80" i="4" s="1"/>
  <c r="BF57" i="4"/>
  <c r="BF81" i="4" s="1"/>
  <c r="BF53" i="4"/>
  <c r="BF77" i="4" s="1"/>
  <c r="AT75" i="4"/>
  <c r="BI55" i="4"/>
  <c r="BI79" i="4" s="1"/>
  <c r="BI56" i="4"/>
  <c r="BI80" i="4" s="1"/>
  <c r="BI57" i="4"/>
  <c r="BI81" i="4" s="1"/>
  <c r="BI90" i="4" s="1"/>
  <c r="BE54" i="4"/>
  <c r="BE78" i="4" s="1"/>
  <c r="BE87" i="4" s="1"/>
  <c r="BE52" i="4"/>
  <c r="BE76" i="4" s="1"/>
  <c r="BE55" i="4"/>
  <c r="BE57" i="4"/>
  <c r="BE81" i="4" s="1"/>
  <c r="BE90" i="4" s="1"/>
  <c r="BE56" i="4"/>
  <c r="BE80" i="4" s="1"/>
  <c r="BE89" i="4" s="1"/>
  <c r="BE53" i="4"/>
  <c r="BE77" i="4" s="1"/>
  <c r="BB54" i="4"/>
  <c r="BB78" i="4" s="1"/>
  <c r="BB87" i="4" s="1"/>
  <c r="BB52" i="4"/>
  <c r="BB76" i="4" s="1"/>
  <c r="BB57" i="4"/>
  <c r="BB81" i="4" s="1"/>
  <c r="BB53" i="4"/>
  <c r="BB77" i="4" s="1"/>
  <c r="BB55" i="4"/>
  <c r="BB56" i="4"/>
  <c r="BB80" i="4" s="1"/>
  <c r="BB89" i="4" s="1"/>
  <c r="BH54" i="4"/>
  <c r="BH78" i="4" s="1"/>
  <c r="BH87" i="4" s="1"/>
  <c r="BH55" i="4"/>
  <c r="BH56" i="4"/>
  <c r="BH80" i="4" s="1"/>
  <c r="BH57" i="4"/>
  <c r="BH81" i="4" s="1"/>
  <c r="BH52" i="4"/>
  <c r="BH76" i="4" s="1"/>
  <c r="BH53" i="4"/>
  <c r="BH77" i="4" s="1"/>
  <c r="BG37" i="4"/>
  <c r="BG54" i="4"/>
  <c r="BG78" i="4" s="1"/>
  <c r="BG55" i="4"/>
  <c r="BG79" i="4" s="1"/>
  <c r="BG56" i="4"/>
  <c r="BG80" i="4" s="1"/>
  <c r="BG89" i="4" s="1"/>
  <c r="BG53" i="4"/>
  <c r="BG77" i="4" s="1"/>
  <c r="BG86" i="4" s="1"/>
  <c r="BG52" i="4"/>
  <c r="BG76" i="4" s="1"/>
  <c r="BG85" i="4" s="1"/>
  <c r="BG57" i="4"/>
  <c r="BG81" i="4" s="1"/>
  <c r="BG90" i="4" s="1"/>
  <c r="BD54" i="4"/>
  <c r="BD78" i="4" s="1"/>
  <c r="BD87" i="4" s="1"/>
  <c r="BD55" i="4"/>
  <c r="BD56" i="4"/>
  <c r="BD80" i="4" s="1"/>
  <c r="BD57" i="4"/>
  <c r="BD81" i="4" s="1"/>
  <c r="BD53" i="4"/>
  <c r="BD77" i="4" s="1"/>
  <c r="BD86" i="4" s="1"/>
  <c r="AB64" i="4"/>
  <c r="L38" i="6"/>
  <c r="L29" i="6"/>
  <c r="L30" i="6" s="1"/>
  <c r="L33" i="6" s="1"/>
  <c r="S55" i="4"/>
  <c r="BA37" i="4"/>
  <c r="K32" i="6"/>
  <c r="K37" i="6"/>
  <c r="K31" i="6"/>
  <c r="K29" i="6" s="1"/>
  <c r="O31" i="7"/>
  <c r="J63" i="4"/>
  <c r="J70" i="4"/>
  <c r="I63" i="4"/>
  <c r="I70" i="4"/>
  <c r="I67" i="4"/>
  <c r="M63" i="4"/>
  <c r="I64" i="4"/>
  <c r="BC55" i="4"/>
  <c r="BC79" i="4" s="1"/>
  <c r="BC88" i="4" s="1"/>
  <c r="AK70" i="4"/>
  <c r="AU76" i="4"/>
  <c r="J68" i="4"/>
  <c r="AT80" i="4"/>
  <c r="BC37" i="4"/>
  <c r="U70" i="4"/>
  <c r="AS78" i="4"/>
  <c r="T70" i="4"/>
  <c r="L63" i="4"/>
  <c r="AI67" i="4"/>
  <c r="AQ76" i="4"/>
  <c r="AH60" i="4"/>
  <c r="M67" i="4"/>
  <c r="I68" i="4"/>
  <c r="AB68" i="4"/>
  <c r="T63" i="4"/>
  <c r="BC57" i="4"/>
  <c r="BC81" i="4" s="1"/>
  <c r="L67" i="4"/>
  <c r="F70" i="4"/>
  <c r="BC56" i="4"/>
  <c r="BC80" i="4" s="1"/>
  <c r="BC89" i="4" s="1"/>
  <c r="S70" i="4"/>
  <c r="M70" i="4"/>
  <c r="AI58" i="4"/>
  <c r="AW80" i="4"/>
  <c r="AH68" i="4"/>
  <c r="J64" i="4"/>
  <c r="H63" i="4"/>
  <c r="G63" i="4"/>
  <c r="L70" i="4"/>
  <c r="J67" i="4"/>
  <c r="BI37" i="4"/>
  <c r="AH58" i="4"/>
  <c r="AQ80" i="4"/>
  <c r="AO77" i="4"/>
  <c r="AO76" i="4"/>
  <c r="AO85" i="4" s="1"/>
  <c r="S63" i="4"/>
  <c r="V70" i="4"/>
  <c r="BB37" i="4"/>
  <c r="R63" i="4"/>
  <c r="AT79" i="4"/>
  <c r="AV76" i="4"/>
  <c r="G67" i="4"/>
  <c r="AU79" i="4"/>
  <c r="AT76" i="4"/>
  <c r="AS76" i="4"/>
  <c r="AS80" i="4"/>
  <c r="AB67" i="4"/>
  <c r="AB70" i="4"/>
  <c r="AT78" i="4"/>
  <c r="AV81" i="4"/>
  <c r="AV78" i="4"/>
  <c r="AU81" i="4"/>
  <c r="AV77" i="4"/>
  <c r="AT81" i="4"/>
  <c r="AU77" i="4"/>
  <c r="AU78" i="4"/>
  <c r="AT77" i="4"/>
  <c r="AV80" i="4"/>
  <c r="AU80" i="4"/>
  <c r="Q68" i="4"/>
  <c r="Q63" i="4"/>
  <c r="F67" i="4"/>
  <c r="F63" i="4"/>
  <c r="E67" i="4"/>
  <c r="E70" i="4"/>
  <c r="E63" i="4"/>
  <c r="AI63" i="4"/>
  <c r="AK63" i="4"/>
  <c r="AH63" i="4"/>
  <c r="AR37" i="4"/>
  <c r="AR75" i="4" s="1"/>
  <c r="AR76" i="4"/>
  <c r="AR78" i="4"/>
  <c r="AR80" i="4"/>
  <c r="K68" i="4"/>
  <c r="K64" i="4"/>
  <c r="K63" i="4"/>
  <c r="K70" i="4"/>
  <c r="AJ68" i="4"/>
  <c r="AJ70" i="4"/>
  <c r="AJ63" i="4"/>
  <c r="AJ58" i="4"/>
  <c r="AP37" i="4"/>
  <c r="AP75" i="4" s="1"/>
  <c r="AP80" i="4"/>
  <c r="H67" i="4"/>
  <c r="H64" i="4"/>
  <c r="AG68" i="4"/>
  <c r="AG60" i="4"/>
  <c r="AG59" i="4"/>
  <c r="AG58" i="4"/>
  <c r="AG63" i="4"/>
  <c r="AO37" i="4"/>
  <c r="AO75" i="4" s="1"/>
  <c r="AO80" i="4"/>
  <c r="G64" i="4"/>
  <c r="G68" i="4"/>
  <c r="AF68" i="4"/>
  <c r="AF59" i="4"/>
  <c r="AF63" i="4"/>
  <c r="H68" i="4"/>
  <c r="AP79" i="4"/>
  <c r="AZ37" i="4"/>
  <c r="F64" i="4"/>
  <c r="F68" i="4"/>
  <c r="AE70" i="4"/>
  <c r="AE59" i="4"/>
  <c r="AE68" i="4"/>
  <c r="AE63" i="4"/>
  <c r="AE67" i="4"/>
  <c r="AO79" i="4"/>
  <c r="E64" i="4"/>
  <c r="E68" i="4"/>
  <c r="AD70" i="4"/>
  <c r="AD68" i="4"/>
  <c r="AD63" i="4"/>
  <c r="AD67" i="4"/>
  <c r="AC60" i="4"/>
  <c r="AC70" i="4"/>
  <c r="AC67" i="4"/>
  <c r="AC68" i="4"/>
  <c r="AC63" i="4"/>
  <c r="AJ67" i="4"/>
  <c r="AG67" i="4"/>
  <c r="AF67" i="4"/>
  <c r="H70" i="4"/>
  <c r="K67" i="4"/>
  <c r="G70" i="4"/>
  <c r="AP77" i="4"/>
  <c r="AW78" i="4"/>
  <c r="AW76" i="4"/>
  <c r="AW79" i="4"/>
  <c r="BH37" i="4"/>
  <c r="P63" i="4"/>
  <c r="P58" i="4"/>
  <c r="Y68" i="4"/>
  <c r="Y70" i="4"/>
  <c r="X68" i="4"/>
  <c r="X70" i="4"/>
  <c r="P67" i="4"/>
  <c r="BE37" i="4"/>
  <c r="W68" i="4"/>
  <c r="W70" i="4"/>
  <c r="W67" i="4"/>
  <c r="AS77" i="4"/>
  <c r="AS81" i="4"/>
  <c r="BD37" i="4"/>
  <c r="V67" i="4"/>
  <c r="Y63" i="4"/>
  <c r="X67" i="4"/>
  <c r="R70" i="4"/>
  <c r="AR77" i="4"/>
  <c r="AR81" i="4"/>
  <c r="U67" i="4"/>
  <c r="X63" i="4"/>
  <c r="P68" i="4"/>
  <c r="Q70" i="4"/>
  <c r="AQ77" i="4"/>
  <c r="AQ78" i="4"/>
  <c r="W63" i="4"/>
  <c r="V68" i="4"/>
  <c r="P70" i="4"/>
  <c r="AP76" i="4"/>
  <c r="AP81" i="4"/>
  <c r="AP78" i="4"/>
  <c r="AW81" i="4"/>
  <c r="V63" i="4"/>
  <c r="U68" i="4"/>
  <c r="AO81" i="4"/>
  <c r="AO90" i="4" s="1"/>
  <c r="AO78" i="4"/>
  <c r="U63" i="4"/>
  <c r="T68" i="4"/>
  <c r="AS79" i="4"/>
  <c r="AW77" i="4"/>
  <c r="AW86" i="4" s="1"/>
  <c r="S68" i="4"/>
  <c r="AR79" i="4"/>
  <c r="R68" i="4"/>
  <c r="AQ81" i="4"/>
  <c r="AQ79" i="4"/>
  <c r="S67" i="4"/>
  <c r="P60" i="4"/>
  <c r="R67" i="4"/>
  <c r="Q67" i="4"/>
  <c r="T67" i="4"/>
  <c r="AV79" i="4"/>
  <c r="M68" i="4"/>
  <c r="M64" i="4"/>
  <c r="BC54" i="4"/>
  <c r="BC78" i="4" s="1"/>
  <c r="BC87" i="4" s="1"/>
  <c r="BC53" i="4"/>
  <c r="BC77" i="4" s="1"/>
  <c r="L68" i="4"/>
  <c r="L64" i="4"/>
  <c r="AK68" i="4"/>
  <c r="AI70" i="4"/>
  <c r="AH70" i="4"/>
  <c r="AK59" i="4"/>
  <c r="AJ59" i="4"/>
  <c r="AI59" i="4"/>
  <c r="AH59" i="4"/>
  <c r="X59" i="4"/>
  <c r="R58" i="4"/>
  <c r="W59" i="4"/>
  <c r="Q58" i="4"/>
  <c r="W60" i="4"/>
  <c r="P59" i="4"/>
  <c r="J58" i="4"/>
  <c r="AD59" i="4"/>
  <c r="X60" i="4"/>
  <c r="AC59" i="4"/>
  <c r="AJ60" i="4"/>
  <c r="AI60" i="4"/>
  <c r="V59" i="4"/>
  <c r="S59" i="4"/>
  <c r="R59" i="4"/>
  <c r="Q59" i="4"/>
  <c r="AB59" i="4"/>
  <c r="AB58" i="4"/>
  <c r="AB60" i="4"/>
  <c r="AK58" i="4"/>
  <c r="AK60" i="4"/>
  <c r="T59" i="4"/>
  <c r="U59" i="4"/>
  <c r="U60" i="4"/>
  <c r="V60" i="4"/>
  <c r="T60" i="4"/>
  <c r="S60" i="4"/>
  <c r="AF58" i="4"/>
  <c r="AF60" i="4"/>
  <c r="Q60" i="4"/>
  <c r="AE58" i="4"/>
  <c r="AE60" i="4"/>
  <c r="R60" i="4"/>
  <c r="AD58" i="4"/>
  <c r="AD60" i="4"/>
  <c r="AC58" i="4"/>
  <c r="X58" i="4"/>
  <c r="V58" i="4"/>
  <c r="U58" i="4"/>
  <c r="T58" i="4"/>
  <c r="S58" i="4"/>
  <c r="W58" i="4"/>
  <c r="I58" i="4"/>
  <c r="H58" i="4"/>
  <c r="E59" i="4"/>
  <c r="J60" i="4"/>
  <c r="D31" i="4"/>
  <c r="G58" i="4"/>
  <c r="M59" i="4"/>
  <c r="H60" i="4"/>
  <c r="G60" i="4"/>
  <c r="L58" i="4"/>
  <c r="F60" i="4"/>
  <c r="E60" i="4"/>
  <c r="L59" i="4"/>
  <c r="K59" i="4"/>
  <c r="J59" i="4"/>
  <c r="I59" i="4"/>
  <c r="H59" i="4"/>
  <c r="G59" i="4"/>
  <c r="F59" i="4"/>
  <c r="M60" i="4"/>
  <c r="L60" i="4"/>
  <c r="M58" i="4"/>
  <c r="K60" i="4"/>
  <c r="K58" i="4"/>
  <c r="I60" i="4"/>
  <c r="F58" i="4"/>
  <c r="E58" i="4"/>
  <c r="AK31" i="4"/>
  <c r="AJ31" i="4"/>
  <c r="AI31" i="4"/>
  <c r="AH31" i="4"/>
  <c r="AG31" i="4"/>
  <c r="AF31" i="4"/>
  <c r="AE31" i="4"/>
  <c r="AD31" i="4"/>
  <c r="AC31" i="4"/>
  <c r="Q32" i="6"/>
  <c r="Q34" i="6"/>
  <c r="Q35" i="6"/>
  <c r="Q36" i="6"/>
  <c r="P32" i="6"/>
  <c r="P34" i="6"/>
  <c r="P35" i="6"/>
  <c r="P38" i="6" s="1"/>
  <c r="P36" i="6"/>
  <c r="O32" i="6"/>
  <c r="O36" i="6"/>
  <c r="O34" i="6"/>
  <c r="O35" i="6"/>
  <c r="K61" i="7"/>
  <c r="L61" i="7"/>
  <c r="O35" i="7"/>
  <c r="M61" i="7"/>
  <c r="P35" i="7"/>
  <c r="N61" i="7"/>
  <c r="O37" i="7"/>
  <c r="O61" i="7"/>
  <c r="P37" i="7"/>
  <c r="P61" i="7"/>
  <c r="G69" i="7"/>
  <c r="H31" i="7"/>
  <c r="I31" i="7"/>
  <c r="J31" i="7"/>
  <c r="L32" i="7"/>
  <c r="H61" i="7"/>
  <c r="K31" i="7"/>
  <c r="K34" i="7"/>
  <c r="I61" i="7"/>
  <c r="M31" i="7"/>
  <c r="EG18" i="5"/>
  <c r="EC18" i="5"/>
  <c r="ED18" i="5"/>
  <c r="EF23" i="5"/>
  <c r="EG23" i="5"/>
  <c r="G34" i="7"/>
  <c r="G36" i="7"/>
  <c r="I32" i="7"/>
  <c r="I34" i="7"/>
  <c r="J32" i="7"/>
  <c r="J36" i="7"/>
  <c r="L34" i="7"/>
  <c r="N34" i="7"/>
  <c r="O32" i="7"/>
  <c r="O34" i="7"/>
  <c r="G31" i="6"/>
  <c r="G36" i="6"/>
  <c r="P32" i="7"/>
  <c r="H31" i="6"/>
  <c r="H29" i="6" s="1"/>
  <c r="H30" i="6" s="1"/>
  <c r="H33" i="6" s="1"/>
  <c r="H36" i="6"/>
  <c r="G31" i="7"/>
  <c r="G35" i="7"/>
  <c r="I36" i="6"/>
  <c r="H35" i="7"/>
  <c r="J36" i="6"/>
  <c r="I35" i="7"/>
  <c r="I37" i="7"/>
  <c r="K36" i="6"/>
  <c r="K35" i="7"/>
  <c r="K37" i="7"/>
  <c r="L31" i="7"/>
  <c r="L35" i="7"/>
  <c r="L37" i="7"/>
  <c r="G32" i="7"/>
  <c r="H34" i="7"/>
  <c r="J34" i="7"/>
  <c r="H32" i="7"/>
  <c r="H29" i="7" s="1"/>
  <c r="H30" i="7" s="1"/>
  <c r="H33" i="7" s="1"/>
  <c r="H36" i="7"/>
  <c r="K32" i="7"/>
  <c r="M32" i="7"/>
  <c r="M34" i="7"/>
  <c r="M36" i="7"/>
  <c r="N32" i="7"/>
  <c r="N36" i="7"/>
  <c r="P34" i="7"/>
  <c r="G34" i="6"/>
  <c r="G38" i="6" s="1"/>
  <c r="J35" i="7"/>
  <c r="M35" i="7"/>
  <c r="G32" i="6"/>
  <c r="N31" i="7"/>
  <c r="N29" i="7" s="1"/>
  <c r="N30" i="7" s="1"/>
  <c r="N33" i="7" s="1"/>
  <c r="N35" i="7"/>
  <c r="EH19" i="5"/>
  <c r="EP19" i="5" s="1"/>
  <c r="FJ19" i="5" s="1"/>
  <c r="FK19" i="5" s="1"/>
  <c r="CW24" i="5"/>
  <c r="CU24" i="5"/>
  <c r="CS24" i="5"/>
  <c r="CQ24" i="5"/>
  <c r="CO24" i="5"/>
  <c r="CM24" i="5"/>
  <c r="Q26" i="5"/>
  <c r="P26" i="5"/>
  <c r="EH26" i="5" s="1"/>
  <c r="EP26" i="5" s="1"/>
  <c r="FJ26" i="5" s="1"/>
  <c r="FK26" i="5" s="1"/>
  <c r="O26" i="5"/>
  <c r="ED26" i="5" s="1"/>
  <c r="N26" i="5"/>
  <c r="M26" i="5"/>
  <c r="EJ26" i="5" s="1"/>
  <c r="L26" i="5"/>
  <c r="FY26" i="5" s="1"/>
  <c r="FZ26" i="5" s="1"/>
  <c r="K26" i="5"/>
  <c r="F26" i="5"/>
  <c r="CP18" i="5"/>
  <c r="FV18" i="5" s="1"/>
  <c r="H25" i="5"/>
  <c r="BB19" i="5"/>
  <c r="EI19" i="5" s="1"/>
  <c r="EQ19" i="5" s="1"/>
  <c r="FL19" i="5" s="1"/>
  <c r="FM19" i="5" s="1"/>
  <c r="CA19" i="5"/>
  <c r="BZ19" i="5"/>
  <c r="BW19" i="5"/>
  <c r="BS19" i="5"/>
  <c r="BV19" i="5"/>
  <c r="BR19" i="5"/>
  <c r="I26" i="5"/>
  <c r="EF26" i="5" s="1"/>
  <c r="BM19" i="5"/>
  <c r="FO21" i="5"/>
  <c r="J26" i="5"/>
  <c r="EG26" i="5" s="1"/>
  <c r="FU17" i="5"/>
  <c r="FY18" i="5"/>
  <c r="FZ18" i="5" s="1"/>
  <c r="BN19" i="5"/>
  <c r="FP21" i="5"/>
  <c r="BO19" i="5"/>
  <c r="FP19" i="5" s="1"/>
  <c r="FQ21" i="5"/>
  <c r="CW17" i="5"/>
  <c r="CU17" i="5"/>
  <c r="CS17" i="5"/>
  <c r="CQ17" i="5"/>
  <c r="CO17" i="5"/>
  <c r="BP19" i="5"/>
  <c r="FQ19" i="5" s="1"/>
  <c r="FR21" i="5"/>
  <c r="FQ22" i="5"/>
  <c r="CL17" i="5"/>
  <c r="BQ19" i="5"/>
  <c r="EK22" i="5"/>
  <c r="FY23" i="5"/>
  <c r="FZ23" i="5" s="1"/>
  <c r="CN18" i="5"/>
  <c r="AB19" i="5"/>
  <c r="CX19" i="5"/>
  <c r="Q24" i="5"/>
  <c r="O24" i="5"/>
  <c r="K24" i="5"/>
  <c r="P24" i="5"/>
  <c r="N24" i="5"/>
  <c r="M24" i="5"/>
  <c r="EJ24" i="5" s="1"/>
  <c r="L24" i="5"/>
  <c r="F24" i="5"/>
  <c r="G24" i="5" s="1"/>
  <c r="EA24" i="5" s="1"/>
  <c r="CL24" i="5"/>
  <c r="FY24" i="5" s="1"/>
  <c r="FZ24" i="5" s="1"/>
  <c r="Q25" i="5"/>
  <c r="P25" i="5"/>
  <c r="EH25" i="5" s="1"/>
  <c r="EP25" i="5" s="1"/>
  <c r="FJ25" i="5" s="1"/>
  <c r="FK25" i="5" s="1"/>
  <c r="O25" i="5"/>
  <c r="K25" i="5"/>
  <c r="N25" i="5"/>
  <c r="M25" i="5"/>
  <c r="EJ25" i="5" s="1"/>
  <c r="L25" i="5"/>
  <c r="F25" i="5"/>
  <c r="ER26" i="5"/>
  <c r="CN26" i="5"/>
  <c r="AC19" i="5"/>
  <c r="G25" i="5"/>
  <c r="EA25" i="5" s="1"/>
  <c r="FG21" i="5"/>
  <c r="FH21" i="5" s="1"/>
  <c r="FI21" i="5" s="1"/>
  <c r="G26" i="5"/>
  <c r="EA26" i="5" s="1"/>
  <c r="CX21" i="5"/>
  <c r="I24" i="5"/>
  <c r="EF24" i="5" s="1"/>
  <c r="I25" i="5"/>
  <c r="EF25" i="5" s="1"/>
  <c r="H26" i="5"/>
  <c r="AV19" i="5"/>
  <c r="EC19" i="5" s="1"/>
  <c r="AV21" i="5"/>
  <c r="AV26" i="5"/>
  <c r="AV25" i="5"/>
  <c r="AV24" i="5"/>
  <c r="AV23" i="5"/>
  <c r="AV17" i="5"/>
  <c r="ER23" i="5"/>
  <c r="EJ22" i="5"/>
  <c r="ER25" i="5"/>
  <c r="Q17" i="5"/>
  <c r="P17" i="5"/>
  <c r="EH17" i="5" s="1"/>
  <c r="EP17" i="5" s="1"/>
  <c r="FJ17" i="5" s="1"/>
  <c r="FK17" i="5" s="1"/>
  <c r="O17" i="5"/>
  <c r="ED17" i="5" s="1"/>
  <c r="N17" i="5"/>
  <c r="EC17" i="5" s="1"/>
  <c r="M17" i="5"/>
  <c r="EJ17" i="5" s="1"/>
  <c r="L17" i="5"/>
  <c r="K17" i="5"/>
  <c r="J17" i="5"/>
  <c r="I17" i="5"/>
  <c r="EF17" i="5" s="1"/>
  <c r="H17" i="5"/>
  <c r="EC22" i="5"/>
  <c r="EQ18" i="5"/>
  <c r="FL18" i="5" s="1"/>
  <c r="FM18" i="5" s="1"/>
  <c r="H24" i="5"/>
  <c r="J24" i="5"/>
  <c r="EG24" i="5" s="1"/>
  <c r="EF22" i="5"/>
  <c r="FY17" i="5"/>
  <c r="FZ17" i="5" s="1"/>
  <c r="CW22" i="5"/>
  <c r="CU22" i="5"/>
  <c r="CS22" i="5"/>
  <c r="CQ22" i="5"/>
  <c r="FO24" i="5"/>
  <c r="AX19" i="5"/>
  <c r="ED19" i="5" s="1"/>
  <c r="AX21" i="5"/>
  <c r="AX26" i="5"/>
  <c r="AX25" i="5"/>
  <c r="AX24" i="5"/>
  <c r="AX23" i="5"/>
  <c r="CM22" i="5"/>
  <c r="F17" i="5"/>
  <c r="G17" i="5" s="1"/>
  <c r="EA17" i="5" s="1"/>
  <c r="AX17" i="5"/>
  <c r="EQ21" i="5"/>
  <c r="FL21" i="5" s="1"/>
  <c r="FM21" i="5" s="1"/>
  <c r="ED22" i="5"/>
  <c r="AB21" i="5"/>
  <c r="FN21" i="5" s="1"/>
  <c r="CR21" i="5"/>
  <c r="CO22" i="5"/>
  <c r="CW23" i="5"/>
  <c r="CU23" i="5"/>
  <c r="CS23" i="5"/>
  <c r="CQ23" i="5"/>
  <c r="CO23" i="5"/>
  <c r="CW25" i="5"/>
  <c r="CU25" i="5"/>
  <c r="CS25" i="5"/>
  <c r="CQ25" i="5"/>
  <c r="CO25" i="5"/>
  <c r="DI22" i="5"/>
  <c r="DO22" i="5" s="1"/>
  <c r="DK22" i="5"/>
  <c r="DQ22" i="5" s="1"/>
  <c r="K23" i="5"/>
  <c r="Q23" i="5"/>
  <c r="P23" i="5"/>
  <c r="O23" i="5"/>
  <c r="N23" i="5"/>
  <c r="M23" i="5"/>
  <c r="EJ23" i="5" s="1"/>
  <c r="L23" i="5"/>
  <c r="F23" i="5"/>
  <c r="G23" i="5" s="1"/>
  <c r="EA23" i="5" s="1"/>
  <c r="CL23" i="5"/>
  <c r="CL25" i="5"/>
  <c r="FY25" i="5" s="1"/>
  <c r="FZ25" i="5" s="1"/>
  <c r="CW26" i="5"/>
  <c r="CU26" i="5"/>
  <c r="CS26" i="5"/>
  <c r="CQ26" i="5"/>
  <c r="CO26" i="5"/>
  <c r="AN22" i="5"/>
  <c r="EG22" i="5" s="1"/>
  <c r="AL23" i="5"/>
  <c r="EK23" i="5" s="1"/>
  <c r="AL24" i="5"/>
  <c r="AL25" i="5"/>
  <c r="AL26" i="5"/>
  <c r="EI18" i="5"/>
  <c r="AE19" i="5"/>
  <c r="AG21" i="5"/>
  <c r="FT21" i="5" s="1"/>
  <c r="BA22" i="5"/>
  <c r="EH22" i="5" s="1"/>
  <c r="EP22" i="5" s="1"/>
  <c r="FJ22" i="5" s="1"/>
  <c r="FK22" i="5" s="1"/>
  <c r="AF19" i="5"/>
  <c r="AH21" i="5"/>
  <c r="FU21" i="5" s="1"/>
  <c r="BB22" i="5"/>
  <c r="EI22" i="5" s="1"/>
  <c r="EQ22" i="5" s="1"/>
  <c r="FL22" i="5" s="1"/>
  <c r="FM22" i="5" s="1"/>
  <c r="AL17" i="5"/>
  <c r="BN18" i="5"/>
  <c r="AG19" i="5"/>
  <c r="F21" i="5"/>
  <c r="AL21" i="5"/>
  <c r="DH21" i="5"/>
  <c r="DN21" i="5" s="1"/>
  <c r="BA23" i="5"/>
  <c r="BA24" i="5"/>
  <c r="BA25" i="5"/>
  <c r="BA26" i="5"/>
  <c r="BB17" i="5"/>
  <c r="AH19" i="5"/>
  <c r="FU19" i="5" s="1"/>
  <c r="BB24" i="5"/>
  <c r="BB26" i="5"/>
  <c r="AC18" i="5"/>
  <c r="FG18" i="5"/>
  <c r="FH18" i="5" s="1"/>
  <c r="FI18" i="5" s="1"/>
  <c r="F19" i="5"/>
  <c r="G19" i="5" s="1"/>
  <c r="EA19" i="5" s="1"/>
  <c r="AL19" i="5"/>
  <c r="H21" i="5"/>
  <c r="AN21" i="5"/>
  <c r="DJ21" i="5"/>
  <c r="DP21" i="5" s="1"/>
  <c r="DV21" i="5" s="1"/>
  <c r="BN22" i="5"/>
  <c r="AN17" i="5"/>
  <c r="AB18" i="5"/>
  <c r="FN18" i="5" s="1"/>
  <c r="G21" i="5"/>
  <c r="AM21" i="5"/>
  <c r="DI21" i="5"/>
  <c r="DO21" i="5" s="1"/>
  <c r="DU21" i="5" s="1"/>
  <c r="BB23" i="5"/>
  <c r="BB25" i="5"/>
  <c r="BP18" i="5"/>
  <c r="AM17" i="5"/>
  <c r="AD18" i="5"/>
  <c r="FP18" i="5" s="1"/>
  <c r="BQ18" i="5"/>
  <c r="AM19" i="5"/>
  <c r="EF19" i="5" s="1"/>
  <c r="I21" i="5"/>
  <c r="AP21" i="5"/>
  <c r="DK21" i="5"/>
  <c r="DQ21" i="5" s="1"/>
  <c r="DW21" i="5" s="1"/>
  <c r="AB22" i="5"/>
  <c r="FN22" i="5" s="1"/>
  <c r="BO22" i="5"/>
  <c r="FP22" i="5" s="1"/>
  <c r="BM23" i="5"/>
  <c r="BM24" i="5"/>
  <c r="BM25" i="5"/>
  <c r="BM26" i="5"/>
  <c r="AE18" i="5"/>
  <c r="H19" i="5"/>
  <c r="AN19" i="5"/>
  <c r="J21" i="5"/>
  <c r="AS21" i="5"/>
  <c r="DL21" i="5"/>
  <c r="DR21" i="5" s="1"/>
  <c r="DX21" i="5" s="1"/>
  <c r="AC22" i="5"/>
  <c r="EE22" i="5"/>
  <c r="BN25" i="5"/>
  <c r="BN26" i="5"/>
  <c r="AP19" i="5"/>
  <c r="ER19" i="5"/>
  <c r="K21" i="5"/>
  <c r="AT21" i="5"/>
  <c r="FY21" i="5" s="1"/>
  <c r="FZ21" i="5" s="1"/>
  <c r="AD22" i="5"/>
  <c r="AB23" i="5"/>
  <c r="AB24" i="5"/>
  <c r="AB25" i="5"/>
  <c r="AB26" i="5"/>
  <c r="AG18" i="5"/>
  <c r="FT18" i="5" s="1"/>
  <c r="DI18" i="5"/>
  <c r="J19" i="5"/>
  <c r="AS19" i="5"/>
  <c r="L21" i="5"/>
  <c r="AE22" i="5"/>
  <c r="AC23" i="5"/>
  <c r="FO23" i="5" s="1"/>
  <c r="AC24" i="5"/>
  <c r="AC25" i="5"/>
  <c r="BP25" i="5"/>
  <c r="AC26" i="5"/>
  <c r="BP26" i="5"/>
  <c r="AF18" i="5"/>
  <c r="BN17" i="5"/>
  <c r="FO17" i="5" s="1"/>
  <c r="BO17" i="5"/>
  <c r="FP17" i="5" s="1"/>
  <c r="AH18" i="5"/>
  <c r="FU18" i="5" s="1"/>
  <c r="BW18" i="5"/>
  <c r="DJ18" i="5"/>
  <c r="K19" i="5"/>
  <c r="AT19" i="5"/>
  <c r="FY19" i="5" s="1"/>
  <c r="FZ19" i="5" s="1"/>
  <c r="M21" i="5"/>
  <c r="AF22" i="5"/>
  <c r="FR22" i="5" s="1"/>
  <c r="BS22" i="5"/>
  <c r="AD23" i="5"/>
  <c r="FP23" i="5" s="1"/>
  <c r="BQ23" i="5"/>
  <c r="AD24" i="5"/>
  <c r="FP24" i="5" s="1"/>
  <c r="BQ24" i="5"/>
  <c r="AD25" i="5"/>
  <c r="FP25" i="5" s="1"/>
  <c r="BQ25" i="5"/>
  <c r="AD26" i="5"/>
  <c r="FP26" i="5" s="1"/>
  <c r="BQ26" i="5"/>
  <c r="BP17" i="5"/>
  <c r="FQ17" i="5" s="1"/>
  <c r="AL18" i="5"/>
  <c r="EK18" i="5" s="1"/>
  <c r="BZ18" i="5"/>
  <c r="EH18" i="5" s="1"/>
  <c r="EP18" i="5" s="1"/>
  <c r="FJ18" i="5" s="1"/>
  <c r="FK18" i="5" s="1"/>
  <c r="DK18" i="5"/>
  <c r="L19" i="5"/>
  <c r="N21" i="5"/>
  <c r="BA21" i="5"/>
  <c r="AG22" i="5"/>
  <c r="FT22" i="5" s="1"/>
  <c r="BV22" i="5"/>
  <c r="AE23" i="5"/>
  <c r="FQ23" i="5" s="1"/>
  <c r="BR23" i="5"/>
  <c r="AE24" i="5"/>
  <c r="FQ24" i="5" s="1"/>
  <c r="BR24" i="5"/>
  <c r="AE25" i="5"/>
  <c r="BR25" i="5"/>
  <c r="AE26" i="5"/>
  <c r="BR26" i="5"/>
  <c r="FT26" i="5" s="1"/>
  <c r="AM18" i="5"/>
  <c r="EF18" i="5" s="1"/>
  <c r="M19" i="5"/>
  <c r="EJ19" i="5" s="1"/>
  <c r="O21" i="5"/>
  <c r="AH22" i="5"/>
  <c r="FU22" i="5" s="1"/>
  <c r="BW22" i="5"/>
  <c r="FY22" i="5" s="1"/>
  <c r="FZ22" i="5" s="1"/>
  <c r="AF23" i="5"/>
  <c r="BS23" i="5"/>
  <c r="FU23" i="5" s="1"/>
  <c r="AF24" i="5"/>
  <c r="BS24" i="5"/>
  <c r="FU24" i="5" s="1"/>
  <c r="AF25" i="5"/>
  <c r="BS25" i="5"/>
  <c r="FU25" i="5" s="1"/>
  <c r="AF26" i="5"/>
  <c r="BS26" i="5"/>
  <c r="FU26" i="5" s="1"/>
  <c r="BQ17" i="5"/>
  <c r="FR17" i="5" s="1"/>
  <c r="G18" i="5"/>
  <c r="DL18" i="5"/>
  <c r="AB17" i="5"/>
  <c r="FN17" i="5" s="1"/>
  <c r="AG23" i="5"/>
  <c r="AG24" i="5"/>
  <c r="AG25" i="5"/>
  <c r="N140" i="4" l="1"/>
  <c r="AN96" i="4"/>
  <c r="AN95" i="4"/>
  <c r="AX101" i="4"/>
  <c r="AN86" i="4"/>
  <c r="AN93" i="4" s="1"/>
  <c r="AN87" i="4"/>
  <c r="AN94" i="4" s="1"/>
  <c r="AN97" i="4"/>
  <c r="AN85" i="4"/>
  <c r="AN92" i="4" s="1"/>
  <c r="N137" i="4"/>
  <c r="L135" i="4"/>
  <c r="N139" i="4"/>
  <c r="BH90" i="4"/>
  <c r="BH97" i="4" s="1"/>
  <c r="BG87" i="4"/>
  <c r="BG94" i="4" s="1"/>
  <c r="BJ89" i="4"/>
  <c r="BJ96" i="4" s="1"/>
  <c r="BF90" i="4"/>
  <c r="BF97" i="4" s="1"/>
  <c r="BF79" i="4"/>
  <c r="BB79" i="4"/>
  <c r="BI87" i="4"/>
  <c r="BI94" i="4" s="1"/>
  <c r="BF89" i="4"/>
  <c r="BF96" i="4" s="1"/>
  <c r="BB97" i="4"/>
  <c r="BH86" i="4"/>
  <c r="BH93" i="4" s="1"/>
  <c r="BD96" i="4"/>
  <c r="BC96" i="4"/>
  <c r="BC95" i="4"/>
  <c r="BB94" i="4"/>
  <c r="BA77" i="4"/>
  <c r="BA86" i="4" s="1"/>
  <c r="AZ95" i="4"/>
  <c r="BG97" i="4"/>
  <c r="AZ89" i="4"/>
  <c r="AZ96" i="4" s="1"/>
  <c r="BE97" i="4"/>
  <c r="AZ92" i="4"/>
  <c r="BG93" i="4"/>
  <c r="BE79" i="4"/>
  <c r="AZ88" i="4"/>
  <c r="BD85" i="4"/>
  <c r="BD92" i="4" s="1"/>
  <c r="AO92" i="4"/>
  <c r="BG96" i="4"/>
  <c r="BE92" i="4"/>
  <c r="BC86" i="4"/>
  <c r="BC93" i="4" s="1"/>
  <c r="BC90" i="4"/>
  <c r="BC97" i="4" s="1"/>
  <c r="BC85" i="4"/>
  <c r="BC92" i="4" s="1"/>
  <c r="BI97" i="4"/>
  <c r="AZ97" i="4"/>
  <c r="BI93" i="4"/>
  <c r="BC94" i="4"/>
  <c r="BH79" i="4"/>
  <c r="L124" i="4" s="1"/>
  <c r="BI89" i="4"/>
  <c r="BI96" i="4" s="1"/>
  <c r="BH94" i="4"/>
  <c r="BH89" i="4"/>
  <c r="BH96" i="4" s="1"/>
  <c r="BB96" i="4"/>
  <c r="BF94" i="4"/>
  <c r="BJ93" i="4"/>
  <c r="N136" i="4"/>
  <c r="BJ87" i="4"/>
  <c r="BJ92" i="4"/>
  <c r="N135" i="4"/>
  <c r="N151" i="4" s="1"/>
  <c r="N124" i="4"/>
  <c r="BD93" i="4"/>
  <c r="BB93" i="4"/>
  <c r="BI86" i="4"/>
  <c r="AZ87" i="4"/>
  <c r="AZ94" i="4" s="1"/>
  <c r="BI85" i="4"/>
  <c r="BI92" i="4" s="1"/>
  <c r="BH85" i="4"/>
  <c r="BH92" i="4" s="1"/>
  <c r="BD79" i="4"/>
  <c r="H124" i="4" s="1"/>
  <c r="BD94" i="4"/>
  <c r="E137" i="4"/>
  <c r="BA94" i="4"/>
  <c r="AZ93" i="4"/>
  <c r="BJ88" i="4"/>
  <c r="N138" i="4" s="1"/>
  <c r="BF85" i="4"/>
  <c r="BF92" i="4" s="1"/>
  <c r="BE96" i="4"/>
  <c r="BF86" i="4"/>
  <c r="BF93" i="4" s="1"/>
  <c r="BI88" i="4"/>
  <c r="BI95" i="4" s="1"/>
  <c r="K135" i="4"/>
  <c r="BG92" i="4"/>
  <c r="BE86" i="4"/>
  <c r="BE93" i="4" s="1"/>
  <c r="BJ97" i="4"/>
  <c r="BD90" i="4"/>
  <c r="BD97" i="4" s="1"/>
  <c r="BE94" i="4"/>
  <c r="BB86" i="4"/>
  <c r="BG88" i="4"/>
  <c r="BG95" i="4" s="1"/>
  <c r="BB90" i="4"/>
  <c r="BB85" i="4"/>
  <c r="BB92" i="4" s="1"/>
  <c r="Q38" i="6"/>
  <c r="Q29" i="6"/>
  <c r="Q30" i="6" s="1"/>
  <c r="Q33" i="6" s="1"/>
  <c r="P29" i="6"/>
  <c r="P30" i="6" s="1"/>
  <c r="P33" i="6" s="1"/>
  <c r="O38" i="6"/>
  <c r="O29" i="6"/>
  <c r="O30" i="6" s="1"/>
  <c r="O33" i="6" s="1"/>
  <c r="N38" i="6"/>
  <c r="W64" i="4"/>
  <c r="W65" i="4" s="1"/>
  <c r="X64" i="4"/>
  <c r="X65" i="4" s="1"/>
  <c r="Y64" i="4"/>
  <c r="Y65" i="4" s="1"/>
  <c r="S64" i="4"/>
  <c r="S65" i="4" s="1"/>
  <c r="R64" i="4"/>
  <c r="R65" i="4" s="1"/>
  <c r="T64" i="4"/>
  <c r="T65" i="4" s="1"/>
  <c r="U64" i="4"/>
  <c r="U65" i="4" s="1"/>
  <c r="Q64" i="4"/>
  <c r="Q65" i="4" s="1"/>
  <c r="V64" i="4"/>
  <c r="V65" i="4" s="1"/>
  <c r="F136" i="4"/>
  <c r="M136" i="4"/>
  <c r="I121" i="4"/>
  <c r="L137" i="4"/>
  <c r="H136" i="4"/>
  <c r="K29" i="7"/>
  <c r="K30" i="7" s="1"/>
  <c r="K33" i="7" s="1"/>
  <c r="G136" i="4"/>
  <c r="D35" i="4"/>
  <c r="J139" i="4"/>
  <c r="K137" i="4"/>
  <c r="M137" i="4"/>
  <c r="K124" i="4"/>
  <c r="J137" i="4"/>
  <c r="F139" i="4"/>
  <c r="L139" i="4"/>
  <c r="F137" i="4"/>
  <c r="G137" i="4"/>
  <c r="J136" i="4"/>
  <c r="I136" i="4"/>
  <c r="K139" i="4"/>
  <c r="I139" i="4"/>
  <c r="K136" i="4"/>
  <c r="G139" i="4"/>
  <c r="L136" i="4"/>
  <c r="H137" i="4"/>
  <c r="M124" i="4"/>
  <c r="G124" i="4"/>
  <c r="H139" i="4"/>
  <c r="I137" i="4"/>
  <c r="M139" i="4"/>
  <c r="I124" i="4"/>
  <c r="M135" i="4"/>
  <c r="I99" i="4"/>
  <c r="I101" i="4" s="1"/>
  <c r="BA85" i="4"/>
  <c r="BA92" i="4" s="1"/>
  <c r="AD64" i="4"/>
  <c r="AD65" i="4" s="1"/>
  <c r="I135" i="4"/>
  <c r="J135" i="4"/>
  <c r="AG64" i="4"/>
  <c r="AE64" i="4"/>
  <c r="AE65" i="4" s="1"/>
  <c r="AC64" i="4"/>
  <c r="AC65" i="4" s="1"/>
  <c r="AI64" i="4"/>
  <c r="AI65" i="4" s="1"/>
  <c r="AF64" i="4"/>
  <c r="AJ64" i="4"/>
  <c r="AJ65" i="4" s="1"/>
  <c r="AH64" i="4"/>
  <c r="P38" i="7"/>
  <c r="P29" i="7"/>
  <c r="P33" i="7" s="1"/>
  <c r="X51" i="4"/>
  <c r="U50" i="4"/>
  <c r="Y53" i="4"/>
  <c r="V51" i="4"/>
  <c r="Q51" i="4"/>
  <c r="W50" i="4"/>
  <c r="Y50" i="4"/>
  <c r="W52" i="4"/>
  <c r="R54" i="4"/>
  <c r="W54" i="4"/>
  <c r="Q54" i="4"/>
  <c r="U55" i="4"/>
  <c r="Q49" i="4"/>
  <c r="T52" i="4"/>
  <c r="V49" i="4"/>
  <c r="X55" i="4"/>
  <c r="W51" i="4"/>
  <c r="W49" i="4"/>
  <c r="Y51" i="4"/>
  <c r="V52" i="4"/>
  <c r="X49" i="4"/>
  <c r="Y49" i="4"/>
  <c r="S53" i="4"/>
  <c r="X50" i="4"/>
  <c r="T50" i="4"/>
  <c r="Q50" i="4"/>
  <c r="X52" i="4"/>
  <c r="R53" i="4"/>
  <c r="X54" i="4"/>
  <c r="S50" i="4"/>
  <c r="T51" i="4"/>
  <c r="Y55" i="4"/>
  <c r="S51" i="4"/>
  <c r="T55" i="4"/>
  <c r="Y54" i="4"/>
  <c r="V50" i="4"/>
  <c r="R51" i="4"/>
  <c r="V53" i="4"/>
  <c r="W55" i="4"/>
  <c r="U49" i="4"/>
  <c r="R55" i="4"/>
  <c r="Q55" i="4"/>
  <c r="U52" i="4"/>
  <c r="U53" i="4"/>
  <c r="R52" i="4"/>
  <c r="R49" i="4"/>
  <c r="W53" i="4"/>
  <c r="S52" i="4"/>
  <c r="S49" i="4"/>
  <c r="R50" i="4"/>
  <c r="T53" i="4"/>
  <c r="X53" i="4"/>
  <c r="V55" i="4"/>
  <c r="T49" i="4"/>
  <c r="U51" i="4"/>
  <c r="Q53" i="4"/>
  <c r="Q52" i="4"/>
  <c r="U54" i="4"/>
  <c r="Y52" i="4"/>
  <c r="T54" i="4"/>
  <c r="S54" i="4"/>
  <c r="V54" i="4"/>
  <c r="AK54" i="4"/>
  <c r="AF53" i="4"/>
  <c r="AF50" i="4"/>
  <c r="AH52" i="4"/>
  <c r="AF55" i="4"/>
  <c r="AG52" i="4"/>
  <c r="AJ49" i="4"/>
  <c r="AD49" i="4"/>
  <c r="AJ51" i="4"/>
  <c r="AI52" i="4"/>
  <c r="AI55" i="4"/>
  <c r="AD52" i="4"/>
  <c r="AE53" i="4"/>
  <c r="AJ53" i="4"/>
  <c r="AH49" i="4"/>
  <c r="AI53" i="4"/>
  <c r="AG51" i="4"/>
  <c r="AJ55" i="4"/>
  <c r="AH54" i="4"/>
  <c r="AH55" i="4"/>
  <c r="AD51" i="4"/>
  <c r="AG50" i="4"/>
  <c r="AD54" i="4"/>
  <c r="AH51" i="4"/>
  <c r="AK52" i="4"/>
  <c r="AG53" i="4"/>
  <c r="AG55" i="4"/>
  <c r="AI50" i="4"/>
  <c r="AK49" i="4"/>
  <c r="AD53" i="4"/>
  <c r="AI54" i="4"/>
  <c r="AF51" i="4"/>
  <c r="AC52" i="4"/>
  <c r="AJ52" i="4"/>
  <c r="AJ50" i="4"/>
  <c r="AE49" i="4"/>
  <c r="AE54" i="4"/>
  <c r="AH50" i="4"/>
  <c r="AE50" i="4"/>
  <c r="AG54" i="4"/>
  <c r="AE55" i="4"/>
  <c r="G149" i="4" s="1"/>
  <c r="AK55" i="4"/>
  <c r="AC54" i="4"/>
  <c r="AC53" i="4"/>
  <c r="AE52" i="4"/>
  <c r="AF49" i="4"/>
  <c r="AF54" i="4"/>
  <c r="AJ54" i="4"/>
  <c r="AE51" i="4"/>
  <c r="AI51" i="4"/>
  <c r="AC49" i="4"/>
  <c r="AI49" i="4"/>
  <c r="AH53" i="4"/>
  <c r="AG49" i="4"/>
  <c r="AK51" i="4"/>
  <c r="AK53" i="4"/>
  <c r="AC55" i="4"/>
  <c r="AC51" i="4"/>
  <c r="AD50" i="4"/>
  <c r="AK50" i="4"/>
  <c r="AF52" i="4"/>
  <c r="AD55" i="4"/>
  <c r="AC50" i="4"/>
  <c r="G135" i="4"/>
  <c r="F135" i="4"/>
  <c r="BA89" i="4"/>
  <c r="BA96" i="4" s="1"/>
  <c r="E139" i="4"/>
  <c r="BA87" i="4"/>
  <c r="H135" i="4"/>
  <c r="J121" i="4"/>
  <c r="AS86" i="4"/>
  <c r="AS93" i="4" s="1"/>
  <c r="AV88" i="4"/>
  <c r="AU88" i="4"/>
  <c r="AR88" i="4"/>
  <c r="AV89" i="4"/>
  <c r="AQ89" i="4"/>
  <c r="AQ96" i="4" s="1"/>
  <c r="AT86" i="4"/>
  <c r="AT93" i="4" s="1"/>
  <c r="AW93" i="4"/>
  <c r="AU87" i="4"/>
  <c r="AV85" i="4"/>
  <c r="AV92" i="4" s="1"/>
  <c r="AS88" i="4"/>
  <c r="AU86" i="4"/>
  <c r="AU93" i="4" s="1"/>
  <c r="AQ87" i="4"/>
  <c r="AQ94" i="4" s="1"/>
  <c r="AQ88" i="4"/>
  <c r="AQ95" i="4" s="1"/>
  <c r="AQ90" i="4"/>
  <c r="AQ97" i="4" s="1"/>
  <c r="AU89" i="4"/>
  <c r="AU96" i="4" s="1"/>
  <c r="AO86" i="4"/>
  <c r="AO93" i="4" s="1"/>
  <c r="AT90" i="4"/>
  <c r="AP88" i="4"/>
  <c r="AP95" i="4" s="1"/>
  <c r="AR89" i="4"/>
  <c r="AV86" i="4"/>
  <c r="AV93" i="4" s="1"/>
  <c r="AO87" i="4"/>
  <c r="AO94" i="4" s="1"/>
  <c r="AR90" i="4"/>
  <c r="H140" i="4" s="1"/>
  <c r="AR87" i="4"/>
  <c r="AR94" i="4" s="1"/>
  <c r="AU90" i="4"/>
  <c r="AO97" i="4"/>
  <c r="AR86" i="4"/>
  <c r="AR93" i="4" s="1"/>
  <c r="AR85" i="4"/>
  <c r="AV87" i="4"/>
  <c r="AV94" i="4" s="1"/>
  <c r="AS90" i="4"/>
  <c r="AU85" i="4"/>
  <c r="AP89" i="4"/>
  <c r="AP96" i="4" s="1"/>
  <c r="AV90" i="4"/>
  <c r="AT87" i="4"/>
  <c r="AT94" i="4" s="1"/>
  <c r="AQ85" i="4"/>
  <c r="BA90" i="4"/>
  <c r="BA97" i="4" s="1"/>
  <c r="AW90" i="4"/>
  <c r="M140" i="4" s="1"/>
  <c r="BA95" i="4"/>
  <c r="AT88" i="4"/>
  <c r="AW89" i="4"/>
  <c r="AW96" i="4" s="1"/>
  <c r="AS89" i="4"/>
  <c r="AS96" i="4" s="1"/>
  <c r="AS85" i="4"/>
  <c r="AT89" i="4"/>
  <c r="AT96" i="4" s="1"/>
  <c r="AP87" i="4"/>
  <c r="AP94" i="4" s="1"/>
  <c r="AW88" i="4"/>
  <c r="AP90" i="4"/>
  <c r="AW85" i="4"/>
  <c r="AO88" i="4"/>
  <c r="E138" i="4" s="1"/>
  <c r="AW87" i="4"/>
  <c r="AW94" i="4" s="1"/>
  <c r="AT85" i="4"/>
  <c r="AT92" i="4" s="1"/>
  <c r="AP86" i="4"/>
  <c r="AP93" i="4" s="1"/>
  <c r="AS87" i="4"/>
  <c r="AQ86" i="4"/>
  <c r="AQ93" i="4" s="1"/>
  <c r="AO89" i="4"/>
  <c r="AO96" i="4" s="1"/>
  <c r="H108" i="4"/>
  <c r="H114" i="4" s="1"/>
  <c r="H141" i="4" s="1"/>
  <c r="AP85" i="4"/>
  <c r="AP92" i="4" s="1"/>
  <c r="K30" i="6"/>
  <c r="K33" i="6" s="1"/>
  <c r="O38" i="7"/>
  <c r="O29" i="7"/>
  <c r="J65" i="4"/>
  <c r="H121" i="4"/>
  <c r="I65" i="4"/>
  <c r="G121" i="4"/>
  <c r="E121" i="4"/>
  <c r="M108" i="4"/>
  <c r="M114" i="4" s="1"/>
  <c r="M141" i="4" s="1"/>
  <c r="L65" i="4"/>
  <c r="K121" i="4"/>
  <c r="L121" i="4"/>
  <c r="F121" i="4"/>
  <c r="M121" i="4"/>
  <c r="G100" i="4"/>
  <c r="G102" i="4" s="1"/>
  <c r="AH61" i="4"/>
  <c r="I106" i="4"/>
  <c r="M106" i="4"/>
  <c r="AI61" i="4"/>
  <c r="J108" i="4"/>
  <c r="J114" i="4" s="1"/>
  <c r="J141" i="4" s="1"/>
  <c r="K108" i="4"/>
  <c r="K114" i="4" s="1"/>
  <c r="K141" i="4" s="1"/>
  <c r="I108" i="4"/>
  <c r="I114" i="4" s="1"/>
  <c r="I141" i="4" s="1"/>
  <c r="K106" i="4"/>
  <c r="L108" i="4"/>
  <c r="L114" i="4" s="1"/>
  <c r="L141" i="4" s="1"/>
  <c r="M100" i="4"/>
  <c r="M102" i="4" s="1"/>
  <c r="G65" i="4"/>
  <c r="F108" i="4"/>
  <c r="F114" i="4" s="1"/>
  <c r="F141" i="4" s="1"/>
  <c r="V61" i="4"/>
  <c r="K99" i="4"/>
  <c r="K101" i="4" s="1"/>
  <c r="G99" i="4"/>
  <c r="G101" i="4" s="1"/>
  <c r="E108" i="4"/>
  <c r="E114" i="4" s="1"/>
  <c r="AG61" i="4"/>
  <c r="L106" i="4"/>
  <c r="AD61" i="4"/>
  <c r="M65" i="4"/>
  <c r="J106" i="4"/>
  <c r="H106" i="4"/>
  <c r="H65" i="4"/>
  <c r="X61" i="4"/>
  <c r="G108" i="4"/>
  <c r="G114" i="4" s="1"/>
  <c r="G141" i="4" s="1"/>
  <c r="K100" i="4"/>
  <c r="K102" i="4" s="1"/>
  <c r="L100" i="4"/>
  <c r="L102" i="4" s="1"/>
  <c r="P61" i="4"/>
  <c r="F100" i="4"/>
  <c r="F102" i="4" s="1"/>
  <c r="F65" i="4"/>
  <c r="E65" i="4"/>
  <c r="M99" i="4"/>
  <c r="M101" i="4" s="1"/>
  <c r="AJ61" i="4"/>
  <c r="AC61" i="4"/>
  <c r="H100" i="4"/>
  <c r="H102" i="4" s="1"/>
  <c r="J99" i="4"/>
  <c r="J101" i="4" s="1"/>
  <c r="I100" i="4"/>
  <c r="I102" i="4" s="1"/>
  <c r="J61" i="4"/>
  <c r="J100" i="4"/>
  <c r="J102" i="4" s="1"/>
  <c r="E106" i="4"/>
  <c r="E100" i="4"/>
  <c r="E102" i="4" s="1"/>
  <c r="H61" i="4"/>
  <c r="H99" i="4"/>
  <c r="H101" i="4" s="1"/>
  <c r="F106" i="4"/>
  <c r="AB31" i="4"/>
  <c r="AB63" i="4"/>
  <c r="AB65" i="4" s="1"/>
  <c r="L99" i="4"/>
  <c r="L101" i="4" s="1"/>
  <c r="K65" i="4"/>
  <c r="E99" i="4"/>
  <c r="E101" i="4" s="1"/>
  <c r="G106" i="4"/>
  <c r="F99" i="4"/>
  <c r="F101" i="4" s="1"/>
  <c r="U61" i="4"/>
  <c r="AB61" i="4"/>
  <c r="AF61" i="4"/>
  <c r="Q61" i="4"/>
  <c r="R61" i="4"/>
  <c r="W61" i="4"/>
  <c r="P65" i="4"/>
  <c r="AK61" i="4"/>
  <c r="L61" i="4"/>
  <c r="S61" i="4"/>
  <c r="F61" i="4"/>
  <c r="M61" i="4"/>
  <c r="G61" i="4"/>
  <c r="E61" i="4"/>
  <c r="I61" i="4"/>
  <c r="K61" i="4"/>
  <c r="T61" i="4"/>
  <c r="AE61" i="4"/>
  <c r="L29" i="7"/>
  <c r="L30" i="7" s="1"/>
  <c r="L33" i="7" s="1"/>
  <c r="J29" i="7"/>
  <c r="J30" i="7" s="1"/>
  <c r="J33" i="7" s="1"/>
  <c r="I29" i="7"/>
  <c r="I30" i="7" s="1"/>
  <c r="I33" i="7" s="1"/>
  <c r="M29" i="7"/>
  <c r="M30" i="7" s="1"/>
  <c r="M33" i="7" s="1"/>
  <c r="K38" i="7"/>
  <c r="M38" i="7"/>
  <c r="J38" i="7"/>
  <c r="G70" i="7"/>
  <c r="EE18" i="5"/>
  <c r="FO25" i="5"/>
  <c r="EH23" i="5"/>
  <c r="EP23" i="5" s="1"/>
  <c r="FJ23" i="5" s="1"/>
  <c r="FK23" i="5" s="1"/>
  <c r="FR18" i="5"/>
  <c r="FO19" i="5"/>
  <c r="EC26" i="5"/>
  <c r="EG19" i="5"/>
  <c r="EA21" i="5"/>
  <c r="EJ21" i="5"/>
  <c r="EE23" i="5"/>
  <c r="FO22" i="5"/>
  <c r="FO18" i="5"/>
  <c r="EC25" i="5"/>
  <c r="FR19" i="5"/>
  <c r="N38" i="7"/>
  <c r="I38" i="7"/>
  <c r="G38" i="7"/>
  <c r="L38" i="7"/>
  <c r="H38" i="7"/>
  <c r="G29" i="7"/>
  <c r="G29" i="6"/>
  <c r="G30" i="6" s="1"/>
  <c r="G33" i="6" s="1"/>
  <c r="EK19" i="5"/>
  <c r="EE19" i="5"/>
  <c r="CX26" i="5"/>
  <c r="FG26" i="5"/>
  <c r="FH26" i="5" s="1"/>
  <c r="FI26" i="5" s="1"/>
  <c r="FN26" i="5"/>
  <c r="EK21" i="5"/>
  <c r="EE21" i="5"/>
  <c r="EK26" i="5"/>
  <c r="EE26" i="5"/>
  <c r="ED23" i="5"/>
  <c r="FQ26" i="5"/>
  <c r="ES19" i="5"/>
  <c r="ET19" i="5" s="1"/>
  <c r="EX22" i="5"/>
  <c r="EY22" i="5" s="1"/>
  <c r="EZ22" i="5" s="1"/>
  <c r="CR22" i="5"/>
  <c r="CP17" i="5"/>
  <c r="EU17" i="5"/>
  <c r="EV17" i="5" s="1"/>
  <c r="EW17" i="5" s="1"/>
  <c r="EX24" i="5"/>
  <c r="EY24" i="5" s="1"/>
  <c r="EZ24" i="5" s="1"/>
  <c r="CR24" i="5"/>
  <c r="FA25" i="5"/>
  <c r="FB25" i="5" s="1"/>
  <c r="FC25" i="5" s="1"/>
  <c r="CT25" i="5"/>
  <c r="EK24" i="5"/>
  <c r="EE24" i="5"/>
  <c r="EX23" i="5"/>
  <c r="EY23" i="5" s="1"/>
  <c r="EZ23" i="5" s="1"/>
  <c r="CR23" i="5"/>
  <c r="FN24" i="5"/>
  <c r="FA23" i="5"/>
  <c r="FB23" i="5" s="1"/>
  <c r="FC23" i="5" s="1"/>
  <c r="CT23" i="5"/>
  <c r="CN24" i="5"/>
  <c r="ER24" i="5"/>
  <c r="CX23" i="5"/>
  <c r="FG23" i="5"/>
  <c r="FH23" i="5" s="1"/>
  <c r="FI23" i="5" s="1"/>
  <c r="EC23" i="5"/>
  <c r="EU22" i="5"/>
  <c r="EV22" i="5" s="1"/>
  <c r="EW22" i="5" s="1"/>
  <c r="CP22" i="5"/>
  <c r="EG17" i="5"/>
  <c r="FT19" i="5"/>
  <c r="CN17" i="5"/>
  <c r="ER17" i="5"/>
  <c r="EU24" i="5"/>
  <c r="EV24" i="5" s="1"/>
  <c r="EW24" i="5" s="1"/>
  <c r="CP24" i="5"/>
  <c r="ED21" i="5"/>
  <c r="EF21" i="5"/>
  <c r="FR26" i="5"/>
  <c r="EI23" i="5"/>
  <c r="EQ23" i="5" s="1"/>
  <c r="FL23" i="5" s="1"/>
  <c r="FM23" i="5" s="1"/>
  <c r="FA22" i="5"/>
  <c r="FB22" i="5" s="1"/>
  <c r="FC22" i="5" s="1"/>
  <c r="CT22" i="5"/>
  <c r="EC24" i="5"/>
  <c r="CR17" i="5"/>
  <c r="EX17" i="5"/>
  <c r="EY17" i="5" s="1"/>
  <c r="EZ17" i="5" s="1"/>
  <c r="FA24" i="5"/>
  <c r="FB24" i="5" s="1"/>
  <c r="FC24" i="5" s="1"/>
  <c r="CT24" i="5"/>
  <c r="FQ25" i="5"/>
  <c r="FO26" i="5"/>
  <c r="FD22" i="5"/>
  <c r="FE22" i="5" s="1"/>
  <c r="FF22" i="5" s="1"/>
  <c r="CV22" i="5"/>
  <c r="EH24" i="5"/>
  <c r="EP24" i="5" s="1"/>
  <c r="FJ24" i="5" s="1"/>
  <c r="FK24" i="5" s="1"/>
  <c r="CT17" i="5"/>
  <c r="FA17" i="5"/>
  <c r="FB17" i="5" s="1"/>
  <c r="FC17" i="5" s="1"/>
  <c r="FD24" i="5"/>
  <c r="FE24" i="5" s="1"/>
  <c r="FF24" i="5" s="1"/>
  <c r="CV24" i="5"/>
  <c r="FA26" i="5"/>
  <c r="FB26" i="5" s="1"/>
  <c r="FC26" i="5" s="1"/>
  <c r="CT26" i="5"/>
  <c r="FD25" i="5"/>
  <c r="FE25" i="5" s="1"/>
  <c r="FF25" i="5" s="1"/>
  <c r="CV25" i="5"/>
  <c r="CP21" i="5"/>
  <c r="EU21" i="5"/>
  <c r="EV21" i="5" s="1"/>
  <c r="EW21" i="5" s="1"/>
  <c r="EU23" i="5"/>
  <c r="EV23" i="5" s="1"/>
  <c r="EW23" i="5" s="1"/>
  <c r="CP23" i="5"/>
  <c r="FN25" i="5"/>
  <c r="EI26" i="5"/>
  <c r="EQ26" i="5"/>
  <c r="FL26" i="5" s="1"/>
  <c r="FM26" i="5" s="1"/>
  <c r="FN23" i="5"/>
  <c r="FD23" i="5"/>
  <c r="FE23" i="5" s="1"/>
  <c r="FF23" i="5" s="1"/>
  <c r="CV23" i="5"/>
  <c r="FS18" i="5"/>
  <c r="FX18" i="5" s="1"/>
  <c r="FR24" i="5"/>
  <c r="EI17" i="5"/>
  <c r="EQ17" i="5"/>
  <c r="FL17" i="5" s="1"/>
  <c r="FM17" i="5" s="1"/>
  <c r="EI24" i="5"/>
  <c r="EQ24" i="5" s="1"/>
  <c r="FL24" i="5" s="1"/>
  <c r="FM24" i="5" s="1"/>
  <c r="FA21" i="5"/>
  <c r="FB21" i="5" s="1"/>
  <c r="FC21" i="5" s="1"/>
  <c r="FD21" i="5"/>
  <c r="FE21" i="5" s="1"/>
  <c r="FF21" i="5" s="1"/>
  <c r="FR23" i="5"/>
  <c r="FV19" i="5"/>
  <c r="FD26" i="5"/>
  <c r="FE26" i="5" s="1"/>
  <c r="FF26" i="5" s="1"/>
  <c r="CV26" i="5"/>
  <c r="ED25" i="5"/>
  <c r="EC21" i="5"/>
  <c r="EK17" i="5"/>
  <c r="EE17" i="5"/>
  <c r="FR25" i="5"/>
  <c r="CX22" i="5"/>
  <c r="FG22" i="5"/>
  <c r="FH22" i="5" s="1"/>
  <c r="FI22" i="5" s="1"/>
  <c r="CX24" i="5"/>
  <c r="FG24" i="5"/>
  <c r="FH24" i="5" s="1"/>
  <c r="FI24" i="5" s="1"/>
  <c r="CX17" i="5"/>
  <c r="FV17" i="5" s="1"/>
  <c r="FG17" i="5"/>
  <c r="FH17" i="5" s="1"/>
  <c r="FI17" i="5" s="1"/>
  <c r="ES25" i="5"/>
  <c r="ET25" i="5" s="1"/>
  <c r="EK25" i="5"/>
  <c r="EE25" i="5"/>
  <c r="FT24" i="5"/>
  <c r="EA18" i="5"/>
  <c r="EG21" i="5"/>
  <c r="EU26" i="5"/>
  <c r="EV26" i="5" s="1"/>
  <c r="EW26" i="5" s="1"/>
  <c r="CP26" i="5"/>
  <c r="EU25" i="5"/>
  <c r="EV25" i="5" s="1"/>
  <c r="EW25" i="5" s="1"/>
  <c r="CP25" i="5"/>
  <c r="CN22" i="5"/>
  <c r="ER22" i="5"/>
  <c r="ES23" i="5"/>
  <c r="ET23" i="5" s="1"/>
  <c r="FS26" i="5"/>
  <c r="ES26" i="5"/>
  <c r="ET26" i="5" s="1"/>
  <c r="FN19" i="5"/>
  <c r="FS19" i="5" s="1"/>
  <c r="FX19" i="5" s="1"/>
  <c r="ER21" i="5"/>
  <c r="DT21" i="5"/>
  <c r="FV21" i="5" s="1"/>
  <c r="EB21" i="5" s="1"/>
  <c r="CX25" i="5"/>
  <c r="FG25" i="5"/>
  <c r="FH25" i="5" s="1"/>
  <c r="FI25" i="5" s="1"/>
  <c r="EI25" i="5"/>
  <c r="EQ25" i="5"/>
  <c r="FL25" i="5" s="1"/>
  <c r="FM25" i="5" s="1"/>
  <c r="FD17" i="5"/>
  <c r="FE17" i="5" s="1"/>
  <c r="FF17" i="5" s="1"/>
  <c r="CV17" i="5"/>
  <c r="ED24" i="5"/>
  <c r="FT25" i="5"/>
  <c r="FQ18" i="5"/>
  <c r="EA22" i="5"/>
  <c r="FT23" i="5"/>
  <c r="EX26" i="5"/>
  <c r="EY26" i="5" s="1"/>
  <c r="EZ26" i="5" s="1"/>
  <c r="CR26" i="5"/>
  <c r="EX25" i="5"/>
  <c r="EY25" i="5" s="1"/>
  <c r="EZ25" i="5" s="1"/>
  <c r="CR25" i="5"/>
  <c r="EX21" i="5"/>
  <c r="EY21" i="5" s="1"/>
  <c r="EZ21" i="5" s="1"/>
  <c r="AN101" i="4" l="1"/>
  <c r="F140" i="4"/>
  <c r="N154" i="4"/>
  <c r="N158" i="4"/>
  <c r="E136" i="4"/>
  <c r="AZ101" i="4"/>
  <c r="N126" i="4"/>
  <c r="N95" i="4" s="1"/>
  <c r="AP97" i="4"/>
  <c r="AO95" i="4"/>
  <c r="BF88" i="4"/>
  <c r="BF95" i="4" s="1"/>
  <c r="BF101" i="4" s="1"/>
  <c r="BD88" i="4"/>
  <c r="H138" i="4" s="1"/>
  <c r="H151" i="4" s="1"/>
  <c r="BJ94" i="4"/>
  <c r="BB88" i="4"/>
  <c r="F138" i="4" s="1"/>
  <c r="F151" i="4" s="1"/>
  <c r="F124" i="4"/>
  <c r="BA93" i="4"/>
  <c r="BA101" i="4" s="1"/>
  <c r="J124" i="4"/>
  <c r="BJ95" i="4"/>
  <c r="BH88" i="4"/>
  <c r="L138" i="4" s="1"/>
  <c r="BE88" i="4"/>
  <c r="I138" i="4" s="1"/>
  <c r="I151" i="4" s="1"/>
  <c r="BC101" i="4"/>
  <c r="G138" i="4"/>
  <c r="G151" i="4" s="1"/>
  <c r="M138" i="4"/>
  <c r="K138" i="4"/>
  <c r="K151" i="4" s="1"/>
  <c r="K149" i="4"/>
  <c r="J111" i="4"/>
  <c r="J117" i="4" s="1"/>
  <c r="J142" i="4" s="1"/>
  <c r="H111" i="4"/>
  <c r="H117" i="4" s="1"/>
  <c r="H142" i="4" s="1"/>
  <c r="I111" i="4"/>
  <c r="I117" i="4" s="1"/>
  <c r="I142" i="4" s="1"/>
  <c r="M111" i="4"/>
  <c r="M117" i="4" s="1"/>
  <c r="M142" i="4" s="1"/>
  <c r="AU95" i="4"/>
  <c r="H145" i="4"/>
  <c r="M151" i="4"/>
  <c r="G30" i="7"/>
  <c r="G33" i="7" s="1"/>
  <c r="E135" i="4"/>
  <c r="E124" i="4"/>
  <c r="L151" i="4"/>
  <c r="E151" i="4"/>
  <c r="F111" i="4"/>
  <c r="F117" i="4" s="1"/>
  <c r="F142" i="4" s="1"/>
  <c r="AG65" i="4"/>
  <c r="F145" i="4"/>
  <c r="E111" i="4"/>
  <c r="E117" i="4" s="1"/>
  <c r="E118" i="4" s="1"/>
  <c r="E119" i="4" s="1"/>
  <c r="G111" i="4"/>
  <c r="G117" i="4" s="1"/>
  <c r="G142" i="4" s="1"/>
  <c r="AK65" i="4"/>
  <c r="K111" i="4"/>
  <c r="K117" i="4" s="1"/>
  <c r="K142" i="4" s="1"/>
  <c r="I147" i="4"/>
  <c r="G143" i="4"/>
  <c r="AH65" i="4"/>
  <c r="L111" i="4"/>
  <c r="L117" i="4" s="1"/>
  <c r="L142" i="4" s="1"/>
  <c r="J145" i="4"/>
  <c r="AF65" i="4"/>
  <c r="L147" i="4"/>
  <c r="E143" i="4"/>
  <c r="E145" i="4"/>
  <c r="G147" i="4"/>
  <c r="L145" i="4"/>
  <c r="H146" i="4"/>
  <c r="G146" i="4"/>
  <c r="H144" i="4"/>
  <c r="E147" i="4"/>
  <c r="F144" i="4"/>
  <c r="G144" i="4"/>
  <c r="K147" i="4"/>
  <c r="M146" i="4"/>
  <c r="R56" i="4"/>
  <c r="Y56" i="4"/>
  <c r="H147" i="4"/>
  <c r="X56" i="4"/>
  <c r="M148" i="4"/>
  <c r="V56" i="4"/>
  <c r="E148" i="4"/>
  <c r="F148" i="4"/>
  <c r="I144" i="4"/>
  <c r="S56" i="4"/>
  <c r="Q56" i="4"/>
  <c r="W56" i="4"/>
  <c r="M149" i="4"/>
  <c r="E144" i="4"/>
  <c r="F143" i="4"/>
  <c r="K146" i="4"/>
  <c r="J149" i="4"/>
  <c r="M144" i="4"/>
  <c r="M147" i="4"/>
  <c r="L144" i="4"/>
  <c r="I145" i="4"/>
  <c r="L146" i="4"/>
  <c r="J144" i="4"/>
  <c r="U56" i="4"/>
  <c r="T56" i="4"/>
  <c r="F149" i="4"/>
  <c r="L149" i="4"/>
  <c r="I148" i="4"/>
  <c r="E149" i="4"/>
  <c r="M145" i="4"/>
  <c r="F146" i="4"/>
  <c r="I143" i="4"/>
  <c r="J147" i="4"/>
  <c r="K143" i="4"/>
  <c r="K145" i="4"/>
  <c r="K148" i="4"/>
  <c r="G145" i="4"/>
  <c r="F147" i="4"/>
  <c r="L143" i="4"/>
  <c r="L158" i="4" s="1"/>
  <c r="L148" i="4"/>
  <c r="M143" i="4"/>
  <c r="M158" i="4" s="1"/>
  <c r="I146" i="4"/>
  <c r="J148" i="4"/>
  <c r="J143" i="4"/>
  <c r="E146" i="4"/>
  <c r="H148" i="4"/>
  <c r="K144" i="4"/>
  <c r="H149" i="4"/>
  <c r="H143" i="4"/>
  <c r="H158" i="4" s="1"/>
  <c r="I149" i="4"/>
  <c r="J146" i="4"/>
  <c r="G148" i="4"/>
  <c r="AH56" i="4"/>
  <c r="AK56" i="4"/>
  <c r="AF56" i="4"/>
  <c r="AE56" i="4"/>
  <c r="AC56" i="4"/>
  <c r="AD56" i="4"/>
  <c r="AG56" i="4"/>
  <c r="AJ56" i="4"/>
  <c r="AI56" i="4"/>
  <c r="I140" i="4"/>
  <c r="AU97" i="4"/>
  <c r="K140" i="4"/>
  <c r="G140" i="4"/>
  <c r="E140" i="4"/>
  <c r="AT97" i="4"/>
  <c r="J140" i="4"/>
  <c r="AV95" i="4"/>
  <c r="AS95" i="4"/>
  <c r="AV97" i="4"/>
  <c r="L140" i="4"/>
  <c r="AS92" i="4"/>
  <c r="AW97" i="4"/>
  <c r="AQ92" i="4"/>
  <c r="L115" i="4"/>
  <c r="L116" i="4" s="1"/>
  <c r="J115" i="4"/>
  <c r="J116" i="4" s="1"/>
  <c r="AU92" i="4"/>
  <c r="E141" i="4"/>
  <c r="E115" i="4"/>
  <c r="E116" i="4" s="1"/>
  <c r="G115" i="4"/>
  <c r="G116" i="4" s="1"/>
  <c r="I115" i="4"/>
  <c r="I116" i="4" s="1"/>
  <c r="K115" i="4"/>
  <c r="K116" i="4" s="1"/>
  <c r="F115" i="4"/>
  <c r="F116" i="4" s="1"/>
  <c r="M115" i="4"/>
  <c r="M116" i="4" s="1"/>
  <c r="H115" i="4"/>
  <c r="H116" i="4" s="1"/>
  <c r="AS97" i="4"/>
  <c r="AW95" i="4"/>
  <c r="AS94" i="4"/>
  <c r="AT95" i="4"/>
  <c r="AW92" i="4"/>
  <c r="AV96" i="4"/>
  <c r="AR95" i="4"/>
  <c r="AU94" i="4"/>
  <c r="AR97" i="4"/>
  <c r="AR92" i="4"/>
  <c r="AR96" i="4"/>
  <c r="E103" i="4"/>
  <c r="E104" i="4" s="1"/>
  <c r="L103" i="4"/>
  <c r="L104" i="4" s="1"/>
  <c r="G103" i="4"/>
  <c r="G104" i="4" s="1"/>
  <c r="BI101" i="4"/>
  <c r="BG101" i="4"/>
  <c r="AD73" i="4"/>
  <c r="AD91" i="4" s="1"/>
  <c r="M103" i="4"/>
  <c r="M104" i="4" s="1"/>
  <c r="O30" i="7"/>
  <c r="O33" i="7" s="1"/>
  <c r="K103" i="4"/>
  <c r="K104" i="4" s="1"/>
  <c r="J103" i="4"/>
  <c r="J104" i="4" s="1"/>
  <c r="I103" i="4"/>
  <c r="I104" i="4" s="1"/>
  <c r="F103" i="4"/>
  <c r="F104" i="4" s="1"/>
  <c r="H103" i="4"/>
  <c r="H104" i="4" s="1"/>
  <c r="I51" i="4"/>
  <c r="I53" i="4"/>
  <c r="I54" i="4"/>
  <c r="I50" i="4"/>
  <c r="I55" i="4"/>
  <c r="I94" i="4" s="1"/>
  <c r="I52" i="4"/>
  <c r="J51" i="4"/>
  <c r="J53" i="4"/>
  <c r="J52" i="4"/>
  <c r="J54" i="4"/>
  <c r="J55" i="4"/>
  <c r="J94" i="4" s="1"/>
  <c r="J50" i="4"/>
  <c r="L51" i="4"/>
  <c r="L50" i="4"/>
  <c r="L53" i="4"/>
  <c r="L52" i="4"/>
  <c r="L55" i="4"/>
  <c r="L94" i="4" s="1"/>
  <c r="L54" i="4"/>
  <c r="J49" i="4"/>
  <c r="I49" i="4"/>
  <c r="L49" i="4"/>
  <c r="D7" i="4" a="1"/>
  <c r="FV23" i="5"/>
  <c r="EL21" i="5"/>
  <c r="EL17" i="5"/>
  <c r="EL18" i="5"/>
  <c r="EL19" i="5"/>
  <c r="EL24" i="5"/>
  <c r="EL26" i="5"/>
  <c r="EL25" i="5"/>
  <c r="EL23" i="5"/>
  <c r="EL22" i="5"/>
  <c r="FV26" i="5"/>
  <c r="FX26" i="5" s="1"/>
  <c r="FS21" i="5"/>
  <c r="FX21" i="5" s="1"/>
  <c r="ES21" i="5"/>
  <c r="ET21" i="5" s="1"/>
  <c r="FV24" i="5"/>
  <c r="FV22" i="5"/>
  <c r="FV25" i="5"/>
  <c r="FS25" i="5"/>
  <c r="FX25" i="5" s="1"/>
  <c r="FS23" i="5"/>
  <c r="FX23" i="5" s="1"/>
  <c r="FS22" i="5"/>
  <c r="FX22" i="5" s="1"/>
  <c r="ES22" i="5"/>
  <c r="ET22" i="5" s="1"/>
  <c r="FS24" i="5"/>
  <c r="ES24" i="5"/>
  <c r="ET24" i="5" s="1"/>
  <c r="FS17" i="5"/>
  <c r="FX17" i="5" s="1"/>
  <c r="ES17" i="5"/>
  <c r="ET17" i="5" s="1"/>
  <c r="F158" i="4" l="1"/>
  <c r="N155" i="4"/>
  <c r="BJ101" i="4"/>
  <c r="N128" i="4" s="1"/>
  <c r="N129" i="4" s="1"/>
  <c r="N159" i="4"/>
  <c r="N152" i="4"/>
  <c r="BB95" i="4"/>
  <c r="BB101" i="4" s="1"/>
  <c r="D54" i="4"/>
  <c r="D55" i="4"/>
  <c r="D50" i="4"/>
  <c r="D51" i="4"/>
  <c r="D52" i="4"/>
  <c r="D53" i="4"/>
  <c r="BE95" i="4"/>
  <c r="BE101" i="4" s="1"/>
  <c r="J138" i="4"/>
  <c r="J151" i="4" s="1"/>
  <c r="BD95" i="4"/>
  <c r="BD101" i="4" s="1"/>
  <c r="BH95" i="4"/>
  <c r="BH101" i="4" s="1"/>
  <c r="I118" i="4"/>
  <c r="I119" i="4" s="1"/>
  <c r="H118" i="4"/>
  <c r="H119" i="4" s="1"/>
  <c r="I158" i="4"/>
  <c r="F160" i="4"/>
  <c r="E160" i="4"/>
  <c r="J118" i="4"/>
  <c r="J119" i="4" s="1"/>
  <c r="K158" i="4"/>
  <c r="M118" i="4"/>
  <c r="M119" i="4" s="1"/>
  <c r="E158" i="4"/>
  <c r="G158" i="4"/>
  <c r="G160" i="4"/>
  <c r="J158" i="4"/>
  <c r="H160" i="4"/>
  <c r="I160" i="4"/>
  <c r="K160" i="4"/>
  <c r="M160" i="4"/>
  <c r="L160" i="4"/>
  <c r="J160" i="4"/>
  <c r="E142" i="4"/>
  <c r="F118" i="4"/>
  <c r="F119" i="4" s="1"/>
  <c r="H154" i="4"/>
  <c r="D33" i="4" a="1"/>
  <c r="D33" i="4" s="1"/>
  <c r="M91" i="4"/>
  <c r="M72" i="4"/>
  <c r="M73" i="4"/>
  <c r="G118" i="4"/>
  <c r="G119" i="4" s="1"/>
  <c r="K118" i="4"/>
  <c r="K119" i="4" s="1"/>
  <c r="L118" i="4"/>
  <c r="L119" i="4" s="1"/>
  <c r="AO101" i="4"/>
  <c r="AR101" i="4"/>
  <c r="AT101" i="4"/>
  <c r="F154" i="4"/>
  <c r="M154" i="4"/>
  <c r="I154" i="4"/>
  <c r="G154" i="4"/>
  <c r="E154" i="4"/>
  <c r="K154" i="4"/>
  <c r="L154" i="4"/>
  <c r="J154" i="4"/>
  <c r="AQ101" i="4"/>
  <c r="AV101" i="4"/>
  <c r="AS101" i="4"/>
  <c r="AW101" i="4"/>
  <c r="AU101" i="4"/>
  <c r="AP101" i="4"/>
  <c r="AB72" i="4"/>
  <c r="AH73" i="4"/>
  <c r="AH91" i="4" s="1"/>
  <c r="AC73" i="4"/>
  <c r="AC91" i="4" s="1"/>
  <c r="AF72" i="4"/>
  <c r="AI73" i="4"/>
  <c r="AI91" i="4" s="1"/>
  <c r="AJ72" i="4"/>
  <c r="AD72" i="4"/>
  <c r="AJ73" i="4"/>
  <c r="AJ91" i="4" s="1"/>
  <c r="AE72" i="4"/>
  <c r="AG73" i="4"/>
  <c r="AG91" i="4" s="1"/>
  <c r="AI72" i="4"/>
  <c r="AC72" i="4"/>
  <c r="AG72" i="4"/>
  <c r="AK73" i="4"/>
  <c r="AK91" i="4" s="1"/>
  <c r="AK72" i="4"/>
  <c r="AB73" i="4"/>
  <c r="AB91" i="4" s="1"/>
  <c r="AE73" i="4"/>
  <c r="AE91" i="4" s="1"/>
  <c r="AF73" i="4"/>
  <c r="AF91" i="4" s="1"/>
  <c r="AH72" i="4"/>
  <c r="R73" i="4"/>
  <c r="R91" i="4" s="1"/>
  <c r="P73" i="4"/>
  <c r="P91" i="4" s="1"/>
  <c r="X73" i="4"/>
  <c r="X91" i="4" s="1"/>
  <c r="V73" i="4"/>
  <c r="V91" i="4" s="1"/>
  <c r="U72" i="4"/>
  <c r="S73" i="4"/>
  <c r="S91" i="4" s="1"/>
  <c r="R72" i="4"/>
  <c r="Q72" i="4"/>
  <c r="T73" i="4"/>
  <c r="T91" i="4" s="1"/>
  <c r="W72" i="4"/>
  <c r="X72" i="4"/>
  <c r="T72" i="4"/>
  <c r="Y73" i="4"/>
  <c r="Y91" i="4" s="1"/>
  <c r="W73" i="4"/>
  <c r="W91" i="4" s="1"/>
  <c r="P72" i="4"/>
  <c r="Q73" i="4"/>
  <c r="Q91" i="4" s="1"/>
  <c r="S72" i="4"/>
  <c r="Y72" i="4"/>
  <c r="V72" i="4"/>
  <c r="U73" i="4"/>
  <c r="U91" i="4" s="1"/>
  <c r="K51" i="4"/>
  <c r="K50" i="4"/>
  <c r="K53" i="4"/>
  <c r="K52" i="4"/>
  <c r="K54" i="4"/>
  <c r="K55" i="4"/>
  <c r="K94" i="4" s="1"/>
  <c r="M51" i="4"/>
  <c r="M53" i="4"/>
  <c r="M50" i="4"/>
  <c r="M55" i="4"/>
  <c r="M94" i="4" s="1"/>
  <c r="M54" i="4"/>
  <c r="M52" i="4"/>
  <c r="H54" i="4"/>
  <c r="H53" i="4"/>
  <c r="H50" i="4"/>
  <c r="H55" i="4"/>
  <c r="H94" i="4" s="1"/>
  <c r="H51" i="4"/>
  <c r="H52" i="4"/>
  <c r="F54" i="4"/>
  <c r="F53" i="4"/>
  <c r="F50" i="4"/>
  <c r="F55" i="4"/>
  <c r="F94" i="4" s="1"/>
  <c r="F51" i="4"/>
  <c r="F52" i="4"/>
  <c r="G54" i="4"/>
  <c r="G53" i="4"/>
  <c r="G50" i="4"/>
  <c r="G55" i="4"/>
  <c r="G94" i="4" s="1"/>
  <c r="G51" i="4"/>
  <c r="G52" i="4"/>
  <c r="E54" i="4"/>
  <c r="E51" i="4"/>
  <c r="E53" i="4"/>
  <c r="E50" i="4"/>
  <c r="E52" i="4"/>
  <c r="E55" i="4"/>
  <c r="E94" i="4" s="1"/>
  <c r="E95" i="4" s="1"/>
  <c r="J56" i="4"/>
  <c r="L56" i="4"/>
  <c r="I56" i="4"/>
  <c r="H49" i="4"/>
  <c r="K49" i="4"/>
  <c r="M49" i="4"/>
  <c r="F49" i="4"/>
  <c r="G49" i="4"/>
  <c r="D7" i="4"/>
  <c r="D49" i="4" s="1"/>
  <c r="E49" i="4"/>
  <c r="EM23" i="5"/>
  <c r="EO23" i="5"/>
  <c r="EN23" i="5"/>
  <c r="EM26" i="5"/>
  <c r="EO26" i="5"/>
  <c r="EN26" i="5"/>
  <c r="EN19" i="5"/>
  <c r="EO19" i="5"/>
  <c r="EM19" i="5"/>
  <c r="EO18" i="5"/>
  <c r="EN18" i="5"/>
  <c r="EM18" i="5"/>
  <c r="EM21" i="5"/>
  <c r="EN21" i="5"/>
  <c r="EO21" i="5"/>
  <c r="EM25" i="5"/>
  <c r="EO25" i="5"/>
  <c r="EN25" i="5"/>
  <c r="EO17" i="5"/>
  <c r="EN17" i="5"/>
  <c r="EM17" i="5"/>
  <c r="FX24" i="5"/>
  <c r="EM22" i="5"/>
  <c r="EO22" i="5"/>
  <c r="EN22" i="5"/>
  <c r="EM24" i="5"/>
  <c r="EN24" i="5"/>
  <c r="EO24" i="5"/>
  <c r="N131" i="4" l="1"/>
  <c r="N132" i="4" s="1"/>
  <c r="D56" i="4"/>
  <c r="M126" i="4"/>
  <c r="M152" i="4" s="1"/>
  <c r="J72" i="4"/>
  <c r="J126" i="4" s="1"/>
  <c r="J73" i="4"/>
  <c r="J91" i="4"/>
  <c r="F91" i="4"/>
  <c r="F128" i="4" s="1"/>
  <c r="F72" i="4"/>
  <c r="F126" i="4" s="1"/>
  <c r="F95" i="4" s="1"/>
  <c r="F73" i="4"/>
  <c r="G91" i="4"/>
  <c r="G128" i="4" s="1"/>
  <c r="G73" i="4"/>
  <c r="G72" i="4"/>
  <c r="G126" i="4" s="1"/>
  <c r="G152" i="4" s="1"/>
  <c r="H72" i="4"/>
  <c r="H126" i="4" s="1"/>
  <c r="H152" i="4" s="1"/>
  <c r="H73" i="4"/>
  <c r="H91" i="4"/>
  <c r="H128" i="4" s="1"/>
  <c r="I72" i="4"/>
  <c r="I126" i="4" s="1"/>
  <c r="I73" i="4"/>
  <c r="I91" i="4"/>
  <c r="I128" i="4" s="1"/>
  <c r="K72" i="4"/>
  <c r="K126" i="4" s="1"/>
  <c r="K91" i="4"/>
  <c r="K128" i="4" s="1"/>
  <c r="K73" i="4"/>
  <c r="E91" i="4"/>
  <c r="E128" i="4" s="1"/>
  <c r="E72" i="4"/>
  <c r="E73" i="4"/>
  <c r="M128" i="4"/>
  <c r="L72" i="4"/>
  <c r="L126" i="4" s="1"/>
  <c r="L152" i="4" s="1"/>
  <c r="L73" i="4"/>
  <c r="L91" i="4"/>
  <c r="L128" i="4" s="1"/>
  <c r="J128" i="4"/>
  <c r="G56" i="4"/>
  <c r="F56" i="4"/>
  <c r="K56" i="4"/>
  <c r="H56" i="4"/>
  <c r="M56" i="4"/>
  <c r="E56" i="4"/>
  <c r="K152" i="4" l="1"/>
  <c r="K95" i="4"/>
  <c r="L131" i="4"/>
  <c r="L132" i="4" s="1"/>
  <c r="L129" i="4"/>
  <c r="K131" i="4"/>
  <c r="K132" i="4" s="1"/>
  <c r="K129" i="4"/>
  <c r="M131" i="4"/>
  <c r="M132" i="4" s="1"/>
  <c r="M129" i="4"/>
  <c r="E131" i="4"/>
  <c r="E129" i="4"/>
  <c r="I131" i="4"/>
  <c r="I132" i="4" s="1"/>
  <c r="I129" i="4"/>
  <c r="H131" i="4"/>
  <c r="H132" i="4" s="1"/>
  <c r="H129" i="4"/>
  <c r="G131" i="4"/>
  <c r="G132" i="4" s="1"/>
  <c r="G129" i="4"/>
  <c r="F131" i="4"/>
  <c r="F132" i="4" s="1"/>
  <c r="F129" i="4"/>
  <c r="J131" i="4"/>
  <c r="J132" i="4" s="1"/>
  <c r="J129" i="4"/>
  <c r="I159" i="4"/>
  <c r="I152" i="4"/>
  <c r="F159" i="4"/>
  <c r="F152" i="4"/>
  <c r="J155" i="4"/>
  <c r="J152" i="4"/>
  <c r="K155" i="4"/>
  <c r="K159" i="4"/>
  <c r="H155" i="4"/>
  <c r="H159" i="4"/>
  <c r="G95" i="4"/>
  <c r="G159" i="4"/>
  <c r="L95" i="4"/>
  <c r="L159" i="4"/>
  <c r="M155" i="4"/>
  <c r="M159" i="4"/>
  <c r="J159" i="4"/>
  <c r="E126" i="4"/>
  <c r="I155" i="4"/>
  <c r="I95" i="4"/>
  <c r="F155" i="4"/>
  <c r="H95" i="4"/>
  <c r="G155" i="4"/>
  <c r="J95" i="4"/>
  <c r="L155" i="4"/>
  <c r="M95" i="4"/>
  <c r="J5" i="15"/>
  <c r="L5" i="15" s="1"/>
  <c r="E155" i="4" l="1"/>
  <c r="E152" i="4"/>
  <c r="E132" i="4"/>
  <c r="E15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RHRD-Nikom C.</author>
    <author>Dell</author>
  </authors>
  <commentList>
    <comment ref="D5" authorId="0" shapeId="0" xr:uid="{AC43FAF6-E931-4E18-8D98-23882903A26B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เก็บแค่ 12 hrs</t>
        </r>
      </text>
    </comment>
    <comment ref="E95" authorId="1" shapeId="0" xr:uid="{B6713EC6-568F-4F2F-956F-397F4ADD5F8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Mass not balance, use CrkConv as is obtained.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Devas IPASON</author>
  </authors>
  <commentList>
    <comment ref="L18" authorId="0" shapeId="0" xr:uid="{676A7371-0E14-48A5-ABF0-2F5417A53DA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M18" authorId="0" shapeId="0" xr:uid="{FB52E7E8-8F42-41F5-A4BD-F8A7882AD85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N18" authorId="0" shapeId="0" xr:uid="{99AA5A8B-284B-4B59-AA73-E106B10A475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O18" authorId="0" shapeId="0" xr:uid="{B6E04B65-D132-4D3B-BA4C-BA2395846D6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P18" authorId="0" shapeId="0" xr:uid="{A22255DE-734C-41F2-9397-44C7DD58478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Q18" authorId="0" shapeId="0" xr:uid="{7395FE18-4CE8-4E02-A42F-BFF7B6C45DF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R18" authorId="0" shapeId="0" xr:uid="{33280A29-B5BB-47D9-868C-764AE9C59FC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S18" authorId="0" shapeId="0" xr:uid="{7F828880-5BC9-4BBA-B15F-3641F0E9CAF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1.280 %WT</t>
        </r>
      </text>
    </comment>
    <comment ref="T18" authorId="0" shapeId="0" xr:uid="{D9EA2FB3-35F9-4CBE-BE5C-95E16B71715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2622</t>
        </r>
      </text>
    </comment>
    <comment ref="T86" authorId="1" shapeId="0" xr:uid="{C6EB038D-E6D3-4245-B346-634B778C7252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0.24</t>
        </r>
      </text>
    </comment>
    <comment ref="U86" authorId="1" shapeId="0" xr:uid="{A6739C9D-75AB-4C3F-B020-C8A2637726E5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0.030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tc={54892A5B-1205-491C-9707-63163724BF1F}</author>
  </authors>
  <commentList>
    <comment ref="H18" authorId="0" shapeId="0" xr:uid="{85C3140E-FF6B-4906-AB0E-3A93FA6B2A7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0.1787 %WT</t>
        </r>
      </text>
    </comment>
    <comment ref="O18" authorId="1" shapeId="0" xr:uid="{54892A5B-1205-491C-9707-63163724BF1F}">
      <text>
        <t>[Threaded comment]
Your version of Excel allows you to read this threaded comment; however, any edits to it will get removed if the file is opened in a newer version of Excel. Learn more: https://go.microsoft.com/fwlink/?linkid=870924
Comment:
    ASTM D2622 0.1560</t>
      </text>
    </comment>
    <comment ref="Q18" authorId="0" shapeId="0" xr:uid="{2149F349-96B7-4AC6-B8AA-180DA665EF2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ASTM D4294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RHRD-Nikom C.</author>
  </authors>
  <commentList>
    <comment ref="B21" authorId="0" shapeId="0" xr:uid="{9B8AC88F-038C-41B8-86EF-DC7144D79728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Data from 18Dec24-NS to 19Dec24-DS</t>
        </r>
      </text>
    </comment>
    <comment ref="E21" authorId="0" shapeId="0" xr:uid="{FA57B87D-870E-49AE-B2C2-5832D0E1A6B3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12 hrs</t>
        </r>
      </text>
    </comment>
    <comment ref="B22" authorId="0" shapeId="0" xr:uid="{30F801BE-B784-46F2-A176-B746260AE187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Data from 19Dec24-DS to 19Dec24-NS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<sst xmlns="http://schemas.openxmlformats.org/spreadsheetml/2006/main" count="1018" uniqueCount="521">
  <si>
    <t>Date</t>
  </si>
  <si>
    <t>LTO</t>
  </si>
  <si>
    <t>Product</t>
  </si>
  <si>
    <t>High Gas</t>
  </si>
  <si>
    <t>Low Gas</t>
  </si>
  <si>
    <t>Metal</t>
  </si>
  <si>
    <t>Ni</t>
  </si>
  <si>
    <t>V</t>
  </si>
  <si>
    <t xml:space="preserve">HPS </t>
  </si>
  <si>
    <t>RHCU Pilot Plant Laboratory Worksheet</t>
  </si>
  <si>
    <t>Batch Name :</t>
  </si>
  <si>
    <t>SR ABQ3358 ACCEPTANCE TEST</t>
  </si>
  <si>
    <t>Date :</t>
  </si>
  <si>
    <t>14-25/12/2024</t>
  </si>
  <si>
    <t>Note :</t>
  </si>
  <si>
    <t>MEBU ACCEPTANCE TEST</t>
  </si>
  <si>
    <t>IN 11:50 AM
OUT 17:30 AM</t>
  </si>
  <si>
    <t>IN 00:00 AM
OUT 02:00 AM</t>
  </si>
  <si>
    <t>IN 09:00 AM
OUT 17:00 AM</t>
  </si>
  <si>
    <t>IN 22:00 PM
OUT 04:00 AM</t>
  </si>
  <si>
    <t>14/12/24</t>
  </si>
  <si>
    <t>15/12/24</t>
  </si>
  <si>
    <t>Properties</t>
  </si>
  <si>
    <t>Method</t>
  </si>
  <si>
    <t>Unit</t>
  </si>
  <si>
    <t>SR ABQ3358</t>
  </si>
  <si>
    <t>HPS</t>
  </si>
  <si>
    <t>Ratio</t>
  </si>
  <si>
    <t>-</t>
  </si>
  <si>
    <t>%wt.</t>
  </si>
  <si>
    <t>Weight</t>
  </si>
  <si>
    <t>kg</t>
  </si>
  <si>
    <t>Density</t>
  </si>
  <si>
    <t>ASTM D4052</t>
  </si>
  <si>
    <t>kg/L</t>
  </si>
  <si>
    <r>
      <t xml:space="preserve">Relative Density@25/25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</si>
  <si>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t>ASTM D70</t>
  </si>
  <si>
    <r>
      <t xml:space="preserve">Viscosity @ -20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</si>
  <si>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t>ASTM D445</t>
  </si>
  <si>
    <t>cSt.</t>
  </si>
  <si>
    <r>
      <t xml:space="preserve">Viscosity @ 40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</si>
  <si>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r>
      <t xml:space="preserve">Viscosity @ 70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</si>
  <si>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r>
      <t xml:space="preserve">Viscosity @ 100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</si>
  <si>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r>
      <t xml:space="preserve">Viscosity @ 150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</si>
  <si>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t>V50</t>
  </si>
  <si>
    <t>Sulfur</t>
  </si>
  <si>
    <t>ASTM D4294</t>
  </si>
  <si>
    <t>%wt</t>
  </si>
  <si>
    <t>ASTM D2622</t>
  </si>
  <si>
    <t>PPMw</t>
  </si>
  <si>
    <t>Total Nitrogen</t>
  </si>
  <si>
    <t>ASTM D4629</t>
  </si>
  <si>
    <t>ASTM D5762</t>
  </si>
  <si>
    <t>CHN</t>
  </si>
  <si>
    <t>ASTM D5291</t>
  </si>
  <si>
    <t>Carbon</t>
  </si>
  <si>
    <t>Hydrogen</t>
  </si>
  <si>
    <t>Nitrogen</t>
  </si>
  <si>
    <t>ICP</t>
  </si>
  <si>
    <t>ASTM D7691
UOP 389</t>
  </si>
  <si>
    <t>Nickle (Ni)</t>
  </si>
  <si>
    <t>Vanadium (V)</t>
  </si>
  <si>
    <t>Sodium (Na)</t>
  </si>
  <si>
    <t>Calcium (Ca)</t>
  </si>
  <si>
    <t>Iron (Fe)</t>
  </si>
  <si>
    <t>Conversion</t>
  </si>
  <si>
    <t>%</t>
  </si>
  <si>
    <t>Ni+V</t>
  </si>
  <si>
    <t>Simdist</t>
  </si>
  <si>
    <t>ASTM D2887
ASTM D7169</t>
  </si>
  <si>
    <t>deg.C</t>
  </si>
  <si>
    <t>IBP</t>
  </si>
  <si>
    <t>FBP</t>
  </si>
  <si>
    <t>SARA</t>
  </si>
  <si>
    <t>IP469</t>
  </si>
  <si>
    <t>Saturates</t>
  </si>
  <si>
    <t>Aromatics</t>
  </si>
  <si>
    <t>Resins</t>
  </si>
  <si>
    <t>Asphaltenes</t>
  </si>
  <si>
    <t>Flocculation</t>
  </si>
  <si>
    <t>ASTM D6703
ASTM D7112</t>
  </si>
  <si>
    <t>Pa</t>
  </si>
  <si>
    <t>Po</t>
  </si>
  <si>
    <t>P</t>
  </si>
  <si>
    <t>FRmax</t>
  </si>
  <si>
    <t>SBN</t>
  </si>
  <si>
    <t>IN</t>
  </si>
  <si>
    <t>C5 Insoluble</t>
  </si>
  <si>
    <t>ASTM D4055</t>
  </si>
  <si>
    <t>C7 Insoluble</t>
  </si>
  <si>
    <t>ASTM D3279</t>
  </si>
  <si>
    <t>CCR</t>
  </si>
  <si>
    <t>ASTM D4530</t>
  </si>
  <si>
    <t>Total Sediment</t>
  </si>
  <si>
    <t>ASTM D4870</t>
  </si>
  <si>
    <t>ASTM D7833</t>
  </si>
  <si>
    <r>
      <t>H</t>
    </r>
    <r>
      <rPr>
        <vertAlign val="subscript"/>
        <sz val="12"/>
        <rFont val="Century Gothic"/>
        <family val="2"/>
      </rPr>
      <t>2</t>
    </r>
    <r>
      <rPr>
        <sz val="12"/>
        <rFont val="Century Gothic"/>
        <family val="2"/>
      </rPr>
      <t>S</t>
    </r>
  </si>
  <si>
    <r>
      <t>C</t>
    </r>
    <r>
      <rPr>
        <vertAlign val="subscript"/>
        <sz val="12"/>
        <rFont val="Century Gothic"/>
        <family val="2"/>
      </rPr>
      <t>1</t>
    </r>
  </si>
  <si>
    <r>
      <t>C</t>
    </r>
    <r>
      <rPr>
        <vertAlign val="subscript"/>
        <sz val="12"/>
        <rFont val="Century Gothic"/>
        <family val="2"/>
      </rPr>
      <t>2</t>
    </r>
  </si>
  <si>
    <r>
      <t>C</t>
    </r>
    <r>
      <rPr>
        <vertAlign val="subscript"/>
        <sz val="12"/>
        <rFont val="Century Gothic"/>
        <family val="2"/>
      </rPr>
      <t>3</t>
    </r>
  </si>
  <si>
    <r>
      <t>C</t>
    </r>
    <r>
      <rPr>
        <vertAlign val="subscript"/>
        <sz val="12"/>
        <rFont val="Century Gothic"/>
        <family val="2"/>
      </rPr>
      <t>4</t>
    </r>
  </si>
  <si>
    <r>
      <t>C</t>
    </r>
    <r>
      <rPr>
        <vertAlign val="subscript"/>
        <sz val="12"/>
        <rFont val="Century Gothic"/>
        <family val="2"/>
      </rPr>
      <t>5</t>
    </r>
  </si>
  <si>
    <r>
      <t>C</t>
    </r>
    <r>
      <rPr>
        <vertAlign val="subscript"/>
        <sz val="12"/>
        <rFont val="Century Gothic"/>
        <family val="2"/>
      </rPr>
      <t>6</t>
    </r>
  </si>
  <si>
    <t>CO</t>
  </si>
  <si>
    <r>
      <t>CO</t>
    </r>
    <r>
      <rPr>
        <vertAlign val="subscript"/>
        <sz val="12"/>
        <rFont val="Century Gothic"/>
        <family val="2"/>
      </rPr>
      <t>2</t>
    </r>
  </si>
  <si>
    <t>IN 11:00 AM
OUT 17:30 AM</t>
  </si>
  <si>
    <t>15-16</t>
  </si>
  <si>
    <t>SIMDIST</t>
  </si>
  <si>
    <t>FEED</t>
  </si>
  <si>
    <t>ABQ3358</t>
  </si>
  <si>
    <t>N, wt%</t>
  </si>
  <si>
    <t>S, wt%</t>
  </si>
  <si>
    <t>MCRT, wt%</t>
  </si>
  <si>
    <t>Ni, ppm</t>
  </si>
  <si>
    <t>V, ppm</t>
  </si>
  <si>
    <t>Fe, ppm</t>
  </si>
  <si>
    <t>Metal Content</t>
  </si>
  <si>
    <t>Day</t>
  </si>
  <si>
    <t>VR feed rate, g/hr</t>
  </si>
  <si>
    <t>VR Feedstock Property</t>
  </si>
  <si>
    <t>Impurity</t>
  </si>
  <si>
    <t>560 degC minus content, wt%</t>
  </si>
  <si>
    <t>Ni, g/hr</t>
  </si>
  <si>
    <t>V, g/hr</t>
  </si>
  <si>
    <t>Fe, g/hr</t>
  </si>
  <si>
    <t>VR Feedstock</t>
  </si>
  <si>
    <t>g/hr</t>
  </si>
  <si>
    <t>MCRT content, g/hr</t>
  </si>
  <si>
    <t>S, g/hr</t>
  </si>
  <si>
    <t>N, g/hr</t>
  </si>
  <si>
    <t>C3</t>
  </si>
  <si>
    <t>HPS rate, g/hr</t>
  </si>
  <si>
    <t>Metal, ppm</t>
  </si>
  <si>
    <t>500-560</t>
  </si>
  <si>
    <t>560 degC plus</t>
  </si>
  <si>
    <t>Metal, rate</t>
  </si>
  <si>
    <t>MCRT rate, g/hr</t>
  </si>
  <si>
    <t>Impurity rate</t>
  </si>
  <si>
    <t>Boiling Cuts from HT Simdist, wt%</t>
  </si>
  <si>
    <t>Product rate of HPS at cut points, g/hr</t>
  </si>
  <si>
    <t>HPS product of 24 hrs, g</t>
  </si>
  <si>
    <t>VR feed of 24 hrs, g</t>
  </si>
  <si>
    <t>LTO product of 24 hrs, g</t>
  </si>
  <si>
    <t>LTO rate, g/hr</t>
  </si>
  <si>
    <t>High Gas rate, g/hr</t>
  </si>
  <si>
    <t>C1, wt%</t>
  </si>
  <si>
    <t>C2, wt%</t>
  </si>
  <si>
    <t>C3, wt%</t>
  </si>
  <si>
    <t>C4, wt%</t>
  </si>
  <si>
    <t>C5, wt%</t>
  </si>
  <si>
    <t>C6, wt%</t>
  </si>
  <si>
    <t>LTO Product rate of HPS at cut points, g/hr</t>
  </si>
  <si>
    <t>C1, g/hr</t>
  </si>
  <si>
    <t>C2, g/hr</t>
  </si>
  <si>
    <t>C3, g/hr</t>
  </si>
  <si>
    <t>C4, g/hr</t>
  </si>
  <si>
    <t>C5, g/hr</t>
  </si>
  <si>
    <t>C6, g/hr</t>
  </si>
  <si>
    <t>Low Gas rate, Ltr/hr</t>
  </si>
  <si>
    <t>C1, v%</t>
  </si>
  <si>
    <t>C2, v%</t>
  </si>
  <si>
    <t>C3, v%</t>
  </si>
  <si>
    <t>C4, v%</t>
  </si>
  <si>
    <t>C5, v%</t>
  </si>
  <si>
    <t>H2, wt%</t>
  </si>
  <si>
    <t>Content of 560 degC minus, g/hr</t>
  </si>
  <si>
    <t>Thermal Conversion, %</t>
  </si>
  <si>
    <t>Content of 560 degC plus, g/hr</t>
  </si>
  <si>
    <t>Ni,%</t>
  </si>
  <si>
    <t>V, %</t>
  </si>
  <si>
    <t>Catalytic Conversion</t>
  </si>
  <si>
    <t>S converted (g/hr)</t>
  </si>
  <si>
    <t>N converted (g/hr)</t>
  </si>
  <si>
    <t>LTO Boiling Cuts from LT Simdist, wt%</t>
  </si>
  <si>
    <t>High Gas of 24 hrs, g
(FQT-1124)</t>
  </si>
  <si>
    <t>Low Gas of 24 hrs, Ltr
(FQT-1123)</t>
  </si>
  <si>
    <t>Input required</t>
  </si>
  <si>
    <t>Fe, %</t>
  </si>
  <si>
    <t>H2 Consumption, g/hr</t>
  </si>
  <si>
    <t>Rx1 (70%), g</t>
  </si>
  <si>
    <t>Rx2(20%), g</t>
  </si>
  <si>
    <t>Rx3(10%), g</t>
  </si>
  <si>
    <t>C7 Asphaltene</t>
  </si>
  <si>
    <t>C5 Asphaltene</t>
  </si>
  <si>
    <t>wt%</t>
  </si>
  <si>
    <t>C5 Asph, wt%</t>
  </si>
  <si>
    <t>C7 Asph, wt%</t>
  </si>
  <si>
    <t>IBP-90</t>
  </si>
  <si>
    <t>90-160</t>
  </si>
  <si>
    <t>160-250</t>
  </si>
  <si>
    <t>250-360</t>
  </si>
  <si>
    <t>360-500</t>
  </si>
  <si>
    <t>Break down gas composition, High Gas</t>
  </si>
  <si>
    <t>Break down gas flow rate, High Gas</t>
  </si>
  <si>
    <t>MEBU Reactor Volume</t>
  </si>
  <si>
    <t>mL</t>
  </si>
  <si>
    <t>degC</t>
  </si>
  <si>
    <t>Target Pressure</t>
  </si>
  <si>
    <t>barg</t>
  </si>
  <si>
    <t>Rx</t>
  </si>
  <si>
    <t>Rx2</t>
  </si>
  <si>
    <t>Rx3</t>
  </si>
  <si>
    <t>GR-823G, g</t>
  </si>
  <si>
    <t>MEBU LHSV</t>
  </si>
  <si>
    <t>LCF LHSV</t>
  </si>
  <si>
    <t>hr-1</t>
  </si>
  <si>
    <t>VR density</t>
  </si>
  <si>
    <t>g/mL</t>
  </si>
  <si>
    <t>VR mass flow rate</t>
  </si>
  <si>
    <t>mL/hr</t>
  </si>
  <si>
    <t>VR volumetric flow rate</t>
  </si>
  <si>
    <t>DC2700, g</t>
  </si>
  <si>
    <t>DC2174-02, g</t>
  </si>
  <si>
    <t>Catalyst</t>
  </si>
  <si>
    <t>Target Temp, Rx1/2/3</t>
  </si>
  <si>
    <t>560 plus</t>
  </si>
  <si>
    <t>C</t>
  </si>
  <si>
    <t>H</t>
  </si>
  <si>
    <t>H/C</t>
  </si>
  <si>
    <t>H2, g/hr</t>
  </si>
  <si>
    <t>C6 plus, g/hr</t>
  </si>
  <si>
    <t>MCRT conversion</t>
  </si>
  <si>
    <t>MoC (Ni+V)</t>
  </si>
  <si>
    <t>As is yield (Rate strem / VR feed rate)</t>
  </si>
  <si>
    <t>H2 Consumption/ VR feed rate</t>
  </si>
  <si>
    <t>Total ISV: 20-30 g/d(24hr)</t>
  </si>
  <si>
    <t>1-1.5 g/hr</t>
  </si>
  <si>
    <t>7 days --&gt; 2 days (No need to analyse) + 5 days (analysis)</t>
  </si>
  <si>
    <t>H2S, wt%</t>
  </si>
  <si>
    <t>NH3, wt%</t>
  </si>
  <si>
    <t>RT-90, wt%</t>
  </si>
  <si>
    <t>&lt;=500, wt%</t>
  </si>
  <si>
    <t>500-560, wt%</t>
  </si>
  <si>
    <t>560 plus, wt%</t>
  </si>
  <si>
    <t>90-160, wt%</t>
  </si>
  <si>
    <t>160-250, wt%</t>
  </si>
  <si>
    <t>250-360, wt%</t>
  </si>
  <si>
    <t>360-500, wt%</t>
  </si>
  <si>
    <t>C1/CH4, wt%</t>
  </si>
  <si>
    <t>C, wt%</t>
  </si>
  <si>
    <t>H, wt%</t>
  </si>
  <si>
    <t>rate, g/hr</t>
  </si>
  <si>
    <t>C2/C2H6, wt%</t>
  </si>
  <si>
    <t>Corrected Yield = As is yield / C Closure (&lt;=500 )</t>
  </si>
  <si>
    <t>Feed Stock Property</t>
  </si>
  <si>
    <t>IBP-90, wt%</t>
  </si>
  <si>
    <t>C5 Asphaltene, wt%</t>
  </si>
  <si>
    <t>C7 Asphaltene, wt%</t>
  </si>
  <si>
    <t>rate, g/h</t>
  </si>
  <si>
    <t>Accumulation, g</t>
  </si>
  <si>
    <t>CH4, wt%</t>
  </si>
  <si>
    <t>C2H6, wt%</t>
  </si>
  <si>
    <t>C3H8, wt%</t>
  </si>
  <si>
    <t>C4H10, wt%</t>
  </si>
  <si>
    <t>C5H12, wt%</t>
  </si>
  <si>
    <t>C6H14 plus, wt%</t>
  </si>
  <si>
    <t>Flow</t>
  </si>
  <si>
    <t>90-160, g/h</t>
  </si>
  <si>
    <t>IBP-90, g/h</t>
  </si>
  <si>
    <t>160-250, g/h</t>
  </si>
  <si>
    <t>250-360, g/h</t>
  </si>
  <si>
    <t>560 plus, g/h</t>
  </si>
  <si>
    <t>Ni, g/h</t>
  </si>
  <si>
    <t>V, g/h</t>
  </si>
  <si>
    <t>Fe, g/h</t>
  </si>
  <si>
    <t>C5 Asphaltene, g/h</t>
  </si>
  <si>
    <t>C7 Asphaltene, g/h</t>
  </si>
  <si>
    <t>MCRT, g/h</t>
  </si>
  <si>
    <t>H2S</t>
  </si>
  <si>
    <t>NH3</t>
  </si>
  <si>
    <t>Day--&gt;</t>
  </si>
  <si>
    <t>C1 carbon, g/h</t>
  </si>
  <si>
    <t>C2 carbon, g/h</t>
  </si>
  <si>
    <t>C3 carbon, g/h</t>
  </si>
  <si>
    <t>C4 carbon, g/h</t>
  </si>
  <si>
    <t>C5 carbon, g/h</t>
  </si>
  <si>
    <t>C6 carbon  plus, g/h</t>
  </si>
  <si>
    <t>Yield</t>
  </si>
  <si>
    <t>IBP-90,  wt%</t>
  </si>
  <si>
    <t>CrkConv, wt%</t>
  </si>
  <si>
    <t>Vconv, wt%</t>
  </si>
  <si>
    <t>Sconv, wt%</t>
  </si>
  <si>
    <t>Nconv, wt%</t>
  </si>
  <si>
    <t>Unit Balance</t>
  </si>
  <si>
    <t>MEBU Product</t>
  </si>
  <si>
    <r>
      <t>C</t>
    </r>
    <r>
      <rPr>
        <vertAlign val="subscript"/>
        <sz val="11"/>
        <color theme="1"/>
        <rFont val="Aptos Display"/>
        <family val="2"/>
        <scheme val="major"/>
      </rPr>
      <t>N</t>
    </r>
  </si>
  <si>
    <r>
      <t>H</t>
    </r>
    <r>
      <rPr>
        <vertAlign val="subscript"/>
        <sz val="11"/>
        <color theme="1"/>
        <rFont val="Aptos Display"/>
        <family val="2"/>
        <scheme val="major"/>
      </rPr>
      <t>N</t>
    </r>
  </si>
  <si>
    <r>
      <t>C</t>
    </r>
    <r>
      <rPr>
        <b/>
        <vertAlign val="subscript"/>
        <sz val="11"/>
        <color theme="1"/>
        <rFont val="Aptos Display"/>
        <family val="2"/>
        <scheme val="major"/>
      </rPr>
      <t>N</t>
    </r>
  </si>
  <si>
    <r>
      <t>H</t>
    </r>
    <r>
      <rPr>
        <b/>
        <vertAlign val="subscript"/>
        <sz val="11"/>
        <color theme="1"/>
        <rFont val="Aptos Display"/>
        <family val="2"/>
        <scheme val="major"/>
      </rPr>
      <t>N</t>
    </r>
  </si>
  <si>
    <r>
      <t>Impurity
(S</t>
    </r>
    <r>
      <rPr>
        <b/>
        <vertAlign val="subscript"/>
        <sz val="11"/>
        <color theme="1"/>
        <rFont val="Aptos Display"/>
        <family val="2"/>
        <scheme val="major"/>
      </rPr>
      <t>N</t>
    </r>
    <r>
      <rPr>
        <b/>
        <sz val="11"/>
        <color theme="1"/>
        <rFont val="Aptos Display"/>
        <family val="2"/>
        <scheme val="major"/>
      </rPr>
      <t>, N</t>
    </r>
    <r>
      <rPr>
        <b/>
        <vertAlign val="subscript"/>
        <sz val="11"/>
        <color theme="1"/>
        <rFont val="Aptos Display"/>
        <family val="2"/>
        <scheme val="major"/>
      </rPr>
      <t>N</t>
    </r>
    <r>
      <rPr>
        <b/>
        <sz val="11"/>
        <color theme="1"/>
        <rFont val="Aptos Display"/>
        <family val="2"/>
        <scheme val="major"/>
      </rPr>
      <t>)</t>
    </r>
  </si>
  <si>
    <r>
      <t xml:space="preserve">Break down gas composition, Low gas
</t>
    </r>
    <r>
      <rPr>
        <b/>
        <sz val="11"/>
        <color rgb="FFFF0000"/>
        <rFont val="Aptos Display"/>
        <family val="2"/>
        <scheme val="major"/>
      </rPr>
      <t>* Low gas also contains H2</t>
    </r>
  </si>
  <si>
    <t>Break down gas volumetric flow rate, Low gas</t>
  </si>
  <si>
    <t>Mass flow rate, Low gas</t>
  </si>
  <si>
    <t>Total MOC (Ni+V) (24 hrs)
gram (g)</t>
  </si>
  <si>
    <t>Accumulative MOC
gram (g)</t>
  </si>
  <si>
    <r>
      <t>C closure = (C</t>
    </r>
    <r>
      <rPr>
        <b/>
        <vertAlign val="subscript"/>
        <sz val="11"/>
        <color theme="1"/>
        <rFont val="Aptos Display"/>
        <family val="2"/>
        <scheme val="major"/>
      </rPr>
      <t>N</t>
    </r>
    <r>
      <rPr>
        <b/>
        <sz val="11"/>
        <color theme="1"/>
        <rFont val="Aptos Display"/>
        <family val="2"/>
        <scheme val="major"/>
      </rPr>
      <t xml:space="preserve"> HPS + C</t>
    </r>
    <r>
      <rPr>
        <b/>
        <vertAlign val="subscript"/>
        <sz val="11"/>
        <color theme="1"/>
        <rFont val="Aptos Display"/>
        <family val="2"/>
        <scheme val="major"/>
      </rPr>
      <t>N</t>
    </r>
    <r>
      <rPr>
        <b/>
        <sz val="11"/>
        <color theme="1"/>
        <rFont val="Aptos Display"/>
        <family val="2"/>
        <scheme val="major"/>
      </rPr>
      <t xml:space="preserve"> LTO +C high gas + C low gas)/C</t>
    </r>
    <r>
      <rPr>
        <b/>
        <vertAlign val="subscript"/>
        <sz val="11"/>
        <color theme="1"/>
        <rFont val="Aptos Display"/>
        <family val="2"/>
        <scheme val="major"/>
      </rPr>
      <t>N/VR</t>
    </r>
  </si>
  <si>
    <r>
      <t xml:space="preserve"> Total H</t>
    </r>
    <r>
      <rPr>
        <b/>
        <vertAlign val="subscript"/>
        <sz val="11"/>
        <color theme="1"/>
        <rFont val="Aptos Display"/>
        <family val="2"/>
        <scheme val="major"/>
      </rPr>
      <t>N</t>
    </r>
    <r>
      <rPr>
        <b/>
        <sz val="11"/>
        <color theme="1"/>
        <rFont val="Aptos Display"/>
        <family val="2"/>
        <scheme val="major"/>
      </rPr>
      <t xml:space="preserve"> in Product/ (HPS+LTO+Low gas + High Gas) - Total H</t>
    </r>
    <r>
      <rPr>
        <b/>
        <vertAlign val="subscript"/>
        <sz val="11"/>
        <color theme="1"/>
        <rFont val="Aptos Display"/>
        <family val="2"/>
        <scheme val="major"/>
      </rPr>
      <t>N</t>
    </r>
    <r>
      <rPr>
        <b/>
        <sz val="11"/>
        <color theme="1"/>
        <rFont val="Aptos Display"/>
        <family val="2"/>
        <scheme val="major"/>
      </rPr>
      <t xml:space="preserve"> in feed/VR </t>
    </r>
  </si>
  <si>
    <r>
      <t xml:space="preserve">S, </t>
    </r>
    <r>
      <rPr>
        <b/>
        <sz val="11"/>
        <color rgb="FFFF0000"/>
        <rFont val="Aptos Display"/>
        <family val="2"/>
        <scheme val="major"/>
      </rPr>
      <t>wt%</t>
    </r>
  </si>
  <si>
    <r>
      <t xml:space="preserve">N, </t>
    </r>
    <r>
      <rPr>
        <b/>
        <sz val="11"/>
        <color rgb="FFFF0000"/>
        <rFont val="Aptos Display"/>
        <family val="2"/>
        <scheme val="major"/>
      </rPr>
      <t>wt%</t>
    </r>
  </si>
  <si>
    <t>C1 rate</t>
  </si>
  <si>
    <t>C2 rate</t>
  </si>
  <si>
    <t>C3 rate</t>
  </si>
  <si>
    <t>C4 rate</t>
  </si>
  <si>
    <t>C5 rate</t>
  </si>
  <si>
    <t>C6 rate</t>
  </si>
  <si>
    <t>C6, v%</t>
  </si>
  <si>
    <t>C1, v/hr</t>
  </si>
  <si>
    <t>C2, v/hr</t>
  </si>
  <si>
    <t>C3, v/hr</t>
  </si>
  <si>
    <t>C4, v/hr</t>
  </si>
  <si>
    <t>C5, v/hr</t>
  </si>
  <si>
    <t>C6, v/hr</t>
  </si>
  <si>
    <t>C4,g/hr</t>
  </si>
  <si>
    <t>C1C, g/hr</t>
  </si>
  <si>
    <t>C2C, g/hr</t>
  </si>
  <si>
    <t>C3C, g/hr</t>
  </si>
  <si>
    <t>C4C,g/hr</t>
  </si>
  <si>
    <t>C5C, g/hr</t>
  </si>
  <si>
    <t>C6C, g/hr</t>
  </si>
  <si>
    <t>C5 Asph Conv %</t>
  </si>
  <si>
    <t>C7 Asph Conv %</t>
  </si>
  <si>
    <t>S conv, %</t>
  </si>
  <si>
    <t>N conv, %</t>
  </si>
  <si>
    <t>NH3, wt%
*</t>
  </si>
  <si>
    <t>Aging</t>
  </si>
  <si>
    <r>
      <t>C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, wt%</t>
    </r>
  </si>
  <si>
    <r>
      <t>H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, wt%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</si>
  <si>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, wt</t>
    </r>
  </si>
  <si>
    <r>
      <t>C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, g/h</t>
    </r>
  </si>
  <si>
    <r>
      <t>H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, g/h</t>
    </r>
  </si>
  <si>
    <t>CRACKING EXPERIMENT</t>
  </si>
  <si>
    <t>DAY1
(Aging Day4)</t>
  </si>
  <si>
    <t>DAY2</t>
  </si>
  <si>
    <t>DAY3</t>
  </si>
  <si>
    <t>DAY4</t>
  </si>
  <si>
    <t>DAY5</t>
  </si>
  <si>
    <t>DAY6</t>
  </si>
  <si>
    <t>DAY7</t>
  </si>
  <si>
    <t>16-17/12/24</t>
  </si>
  <si>
    <t>19/12/24</t>
  </si>
  <si>
    <t>20/12/24</t>
  </si>
  <si>
    <t>21/12/24</t>
  </si>
  <si>
    <t>22/12/24</t>
  </si>
  <si>
    <t>23/12/24</t>
  </si>
  <si>
    <t>24/12/24</t>
  </si>
  <si>
    <t>CHNS</t>
  </si>
  <si>
    <r>
      <t>C</t>
    </r>
    <r>
      <rPr>
        <b/>
        <vertAlign val="subscript"/>
        <sz val="12"/>
        <color theme="4" tint="-0.499984740745262"/>
        <rFont val="Century Gothic"/>
        <family val="2"/>
      </rPr>
      <t>N</t>
    </r>
  </si>
  <si>
    <r>
      <t>H</t>
    </r>
    <r>
      <rPr>
        <b/>
        <vertAlign val="subscript"/>
        <sz val="12"/>
        <color theme="4" tint="-0.499984740745262"/>
        <rFont val="Century Gothic"/>
        <family val="2"/>
      </rPr>
      <t>N</t>
    </r>
  </si>
  <si>
    <r>
      <t>N</t>
    </r>
    <r>
      <rPr>
        <b/>
        <vertAlign val="subscript"/>
        <sz val="12"/>
        <color theme="4" tint="-0.499984740745262"/>
        <rFont val="Century Gothic"/>
        <family val="2"/>
      </rPr>
      <t>N</t>
    </r>
  </si>
  <si>
    <r>
      <t>S</t>
    </r>
    <r>
      <rPr>
        <b/>
        <vertAlign val="subscript"/>
        <sz val="12"/>
        <color theme="4" tint="-0.499984740745262"/>
        <rFont val="Century Gothic"/>
        <family val="2"/>
      </rPr>
      <t>N</t>
    </r>
  </si>
  <si>
    <r>
      <t>H</t>
    </r>
    <r>
      <rPr>
        <b/>
        <vertAlign val="subscript"/>
        <sz val="12"/>
        <color theme="4" tint="-0.499984740745262"/>
        <rFont val="Century Gothic"/>
        <family val="2"/>
      </rPr>
      <t>N</t>
    </r>
    <r>
      <rPr>
        <b/>
        <sz val="12"/>
        <color theme="4" tint="-0.499984740745262"/>
        <rFont val="Century Gothic"/>
        <family val="2"/>
      </rPr>
      <t>/C</t>
    </r>
    <r>
      <rPr>
        <b/>
        <vertAlign val="subscript"/>
        <sz val="12"/>
        <color theme="4" tint="-0.499984740745262"/>
        <rFont val="Century Gothic"/>
        <family val="2"/>
      </rPr>
      <t>N</t>
    </r>
  </si>
  <si>
    <t>N</t>
  </si>
  <si>
    <t>S</t>
  </si>
  <si>
    <t>&lt;560 = 14.1%</t>
  </si>
  <si>
    <t>CUT POINTS</t>
  </si>
  <si>
    <t>560+</t>
  </si>
  <si>
    <t>TOTAL</t>
  </si>
  <si>
    <t>CATALYST AGING</t>
  </si>
  <si>
    <t>IN 08.08
OUT 18.00</t>
  </si>
  <si>
    <t>IN
OUT 07.15</t>
  </si>
  <si>
    <t>DAY1</t>
  </si>
  <si>
    <t>16/12/24</t>
  </si>
  <si>
    <t>17/12/24</t>
  </si>
  <si>
    <t>18/12/24</t>
  </si>
  <si>
    <t>HDM Conversion</t>
  </si>
  <si>
    <t>%mol</t>
  </si>
  <si>
    <r>
      <t>N</t>
    </r>
    <r>
      <rPr>
        <vertAlign val="subscript"/>
        <sz val="12"/>
        <rFont val="Century Gothic"/>
        <family val="2"/>
      </rPr>
      <t>2</t>
    </r>
  </si>
  <si>
    <t>IN 8:00 AM
OUT 8:00 PM</t>
  </si>
  <si>
    <t>14-15</t>
  </si>
  <si>
    <t>16-17</t>
  </si>
  <si>
    <t>Total</t>
  </si>
  <si>
    <t>DAY8</t>
  </si>
  <si>
    <t>DAY9</t>
  </si>
  <si>
    <t>DAY10</t>
  </si>
  <si>
    <t>%vol</t>
  </si>
  <si>
    <t>Total g/h</t>
  </si>
  <si>
    <t>360-500, g/h</t>
  </si>
  <si>
    <t>500-560, g/h</t>
  </si>
  <si>
    <t>S, g/h</t>
  </si>
  <si>
    <t>N, g/h</t>
  </si>
  <si>
    <t>Total, g/h</t>
  </si>
  <si>
    <t>N, wt% (ASTM D5762)</t>
  </si>
  <si>
    <t>S, wt% (ASTM D4294)</t>
  </si>
  <si>
    <t>C, wt% (ASTM D5291)</t>
  </si>
  <si>
    <t>H, wt% (ASTM D5291)</t>
  </si>
  <si>
    <t>N, wt% (ASTM D5291)</t>
  </si>
  <si>
    <t>S, wt%  (ASTM D4294)</t>
  </si>
  <si>
    <t>CH4, g/h</t>
  </si>
  <si>
    <t>C2H6, g/h</t>
  </si>
  <si>
    <t>C3H8, g/h</t>
  </si>
  <si>
    <t>C4H10, g/h</t>
  </si>
  <si>
    <t>C5H12, g/h</t>
  </si>
  <si>
    <t>C6H14 plus, g/h</t>
  </si>
  <si>
    <t>H2S, g/h</t>
  </si>
  <si>
    <t>NH3, g/h</t>
  </si>
  <si>
    <t>Litre</t>
  </si>
  <si>
    <t>C1</t>
  </si>
  <si>
    <t>C2</t>
  </si>
  <si>
    <t>C4</t>
  </si>
  <si>
    <t>C5</t>
  </si>
  <si>
    <t>C6</t>
  </si>
  <si>
    <t>H2</t>
  </si>
  <si>
    <t>H4</t>
  </si>
  <si>
    <t>H3</t>
  </si>
  <si>
    <t>H8</t>
  </si>
  <si>
    <t>H6</t>
  </si>
  <si>
    <t>H10</t>
  </si>
  <si>
    <t>H12</t>
  </si>
  <si>
    <t>H14</t>
  </si>
  <si>
    <t>CH4</t>
  </si>
  <si>
    <t>C2H6</t>
  </si>
  <si>
    <t>C3H8</t>
  </si>
  <si>
    <t>C4H10</t>
  </si>
  <si>
    <t>C5H12</t>
  </si>
  <si>
    <t>C6H16</t>
  </si>
  <si>
    <t>Sconv, g/h</t>
  </si>
  <si>
    <t>Nconv, g/h</t>
  </si>
  <si>
    <t>VR</t>
  </si>
  <si>
    <t>High gas</t>
  </si>
  <si>
    <t>Niconv, wt%</t>
  </si>
  <si>
    <t>Feconv, wt%</t>
  </si>
  <si>
    <t>MCRTconv, wt%</t>
  </si>
  <si>
    <t>L/hr</t>
  </si>
  <si>
    <t>K</t>
  </si>
  <si>
    <t xml:space="preserve">Reference Temp </t>
  </si>
  <si>
    <t>Carbon Flow, High Gas (g/h)</t>
  </si>
  <si>
    <t>Carbon Flow, Low Gas (g/h)</t>
  </si>
  <si>
    <t>CrkConv/Corrected, wt%</t>
  </si>
  <si>
    <t>ART Reference</t>
  </si>
  <si>
    <t>ART Reference (Ni+V)</t>
  </si>
  <si>
    <t>CrkConversion</t>
  </si>
  <si>
    <t xml:space="preserve">Breakdown Flow rate, Low gas (L/h) </t>
  </si>
  <si>
    <t>Ni converted, g/h</t>
  </si>
  <si>
    <t>V converted, g/h</t>
  </si>
  <si>
    <t>Carbon Balance</t>
  </si>
  <si>
    <t>(Ni+V) converted, g/h</t>
  </si>
  <si>
    <t>(Ni+V)conv, wt%</t>
  </si>
  <si>
    <t>ART Reference(MCRT)</t>
  </si>
  <si>
    <t>ART Reference (Yield)</t>
  </si>
  <si>
    <t>ART Reference (S)</t>
  </si>
  <si>
    <t>Lab Date--&gt;</t>
  </si>
  <si>
    <t>Pilot Plant Operation</t>
  </si>
  <si>
    <t>H element, g/h</t>
  </si>
  <si>
    <t>H element LTO, g/h</t>
  </si>
  <si>
    <t>H element HPS, g/h</t>
  </si>
  <si>
    <t>H element VR</t>
  </si>
  <si>
    <t>H element in H2S</t>
  </si>
  <si>
    <t>H element in NH3</t>
  </si>
  <si>
    <t>H element of hydrocarbon in Low Gas</t>
  </si>
  <si>
    <t>H2, g/h</t>
  </si>
  <si>
    <t>H2,g/h</t>
  </si>
  <si>
    <t>H/VR ratio (Corrected C)</t>
  </si>
  <si>
    <t>C4 minus</t>
  </si>
  <si>
    <t>H element flow rate, High Gas (g/h)</t>
  </si>
  <si>
    <t>H element flow rate, Low Gas (g/h)</t>
  </si>
  <si>
    <t>H element of hydrocarbon in High Gas (g/h)</t>
  </si>
  <si>
    <t>Sedimentation, ppm</t>
  </si>
  <si>
    <t>MEB LHSV, hr-1</t>
  </si>
  <si>
    <t>MEBU Reactor Volume, mL</t>
  </si>
  <si>
    <t>Rx1 Avg. Temp, degC</t>
  </si>
  <si>
    <t>Rx2 Avg. Temp, degC</t>
  </si>
  <si>
    <t>Rx3 Avg. Temp, degC</t>
  </si>
  <si>
    <t>Commercial RHCU LHSV, hr-1</t>
  </si>
  <si>
    <t>No. of Rx, N</t>
  </si>
  <si>
    <t>Temp, degC</t>
  </si>
  <si>
    <t>Temp, K</t>
  </si>
  <si>
    <t>MEBU Correction factor</t>
  </si>
  <si>
    <t>R, cal.mol-1.K-1</t>
  </si>
  <si>
    <t>Ea,  cal.mol-1</t>
  </si>
  <si>
    <t>Ea/(RT)</t>
  </si>
  <si>
    <t>e^(Ea/RT)</t>
  </si>
  <si>
    <t>k0</t>
  </si>
  <si>
    <t>Krxn</t>
  </si>
  <si>
    <t>Avg. Temp, degC</t>
  </si>
  <si>
    <t>T, K</t>
  </si>
  <si>
    <t>Experiment 
(MEBU Experiment)</t>
  </si>
  <si>
    <t xml:space="preserve">Case </t>
  </si>
  <si>
    <t>H/VR ratio, wt ratio</t>
  </si>
  <si>
    <t>Case</t>
  </si>
  <si>
    <t xml:space="preserve">Low gas </t>
  </si>
  <si>
    <t>Breakdown Flow Rate, High Gas (g/h)</t>
  </si>
  <si>
    <t xml:space="preserve">Breakdown Flow Rate, Low gas (g/h) </t>
  </si>
  <si>
    <t>LHSV</t>
  </si>
  <si>
    <t>{[100/(100-X)]^1/N} -1</t>
  </si>
  <si>
    <t>=</t>
  </si>
  <si>
    <t>X, %CrkConv</t>
  </si>
  <si>
    <t>T, degC</t>
  </si>
  <si>
    <t>%CrkConv</t>
  </si>
  <si>
    <t>e^[Ea/(RT)]</t>
  </si>
  <si>
    <t>100/(100-%CrkConv)^1/N-1</t>
  </si>
  <si>
    <t>100/(100-%CrkConv)</t>
  </si>
  <si>
    <t>100/(100-%CrkConv)^1/N</t>
  </si>
  <si>
    <t>500 minus (C corrected), %</t>
  </si>
  <si>
    <t>500 minus as is obtained, %</t>
  </si>
  <si>
    <t xml:space="preserve">Note: Day 1 on 18Dec2024, there is a troble shooting on HPS-2, then HPS and LTO get small HPS and LTO  </t>
  </si>
  <si>
    <t>360-560, wt%</t>
  </si>
  <si>
    <t>IBP-90 (included C5&amp;6)</t>
  </si>
  <si>
    <t>IBP-90 (included C5&amp;6, C corrected)</t>
  </si>
  <si>
    <t>C4 minus (C corrected)</t>
  </si>
  <si>
    <t>**change condition NO Test</t>
  </si>
  <si>
    <t>H2 comsumption, NL/Feed (NL/ kg)</t>
  </si>
  <si>
    <t>H element comsumption, g/h</t>
  </si>
  <si>
    <t>25/12/24</t>
  </si>
  <si>
    <t>SAMPLE INVESTIGATION</t>
  </si>
  <si>
    <t>ISV</t>
  </si>
  <si>
    <t>ISV+HPS+RX</t>
  </si>
  <si>
    <t>26/12/24</t>
  </si>
  <si>
    <t>27/12/24</t>
  </si>
  <si>
    <t>PILOT</t>
  </si>
  <si>
    <t>MAINLAB</t>
  </si>
  <si>
    <t>Lab test 251224</t>
  </si>
  <si>
    <t>Lab test 261224</t>
  </si>
  <si>
    <t>Lab test 271224</t>
  </si>
  <si>
    <t>ISV1</t>
  </si>
  <si>
    <t>ISV2</t>
  </si>
  <si>
    <t>ISV3</t>
  </si>
  <si>
    <t>ISV1+HPS+RX</t>
  </si>
  <si>
    <t>HT SIMDIST RESULTS COMPARISON AFTER BP RECALIBRATION</t>
  </si>
  <si>
    <t>NOTE : ALL OF HT SIMDIST RESULTS ARE FROM GC-HT SIMDIST AT MAINLAB</t>
  </si>
  <si>
    <t>DAY11</t>
  </si>
  <si>
    <t>28/12/24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</si>
</sst>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0E+00"/>
  </numFmts>
  <fonts count="4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20"/>
      <color theme="1"/>
      <name val="Century Gothic"/>
      <family val="2"/>
    </font>
    <font>
      <i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sz val="12"/>
      <color rgb="FF0000FF"/>
      <name val="Century Gothic"/>
      <family val="2"/>
    </font>
    <font>
      <b/>
      <sz val="12"/>
      <color theme="0"/>
      <name val="Century Gothic"/>
      <family val="2"/>
    </font>
    <font>
      <sz val="12"/>
      <name val="Century Gothic"/>
      <family val="2"/>
    </font>
    <font>
      <sz val="12"/>
      <color rgb="FF000000"/>
      <name val="Century Gothic"/>
      <family val="2"/>
    </font>
    <font>
      <vertAlign val="superscript"/>
      <sz val="12"/>
      <name val="Century Gothic"/>
      <family val="2"/>
    </font>
    <font>
      <b/>
      <sz val="12"/>
      <color rgb="FF000000"/>
      <name val="Century Gothic"/>
      <family val="2"/>
    </font>
    <font>
      <b/>
      <sz val="12"/>
      <name val="Century Gothic"/>
      <family val="2"/>
    </font>
    <font>
      <b/>
      <sz val="12"/>
      <color theme="5"/>
      <name val="Century Gothic"/>
      <family val="2"/>
    </font>
    <font>
      <vertAlign val="subscript"/>
      <sz val="12"/>
      <name val="Century Gothic"/>
      <family val="2"/>
    </font>
    <font>
      <b/>
      <sz val="12"/>
      <color rgb="FF0070C0"/>
      <name val="Century Gothic"/>
      <family val="2"/>
    </font>
    <font>
      <b/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20"/>
      <color theme="0"/>
      <name val="Aptos Display"/>
      <family val="2"/>
      <scheme val="major"/>
    </font>
    <font>
      <vertAlign val="subscript"/>
      <sz val="11"/>
      <color theme="1"/>
      <name val="Aptos Display"/>
      <family val="2"/>
      <scheme val="major"/>
    </font>
    <font>
      <b/>
      <vertAlign val="subscript"/>
      <sz val="11"/>
      <color theme="1"/>
      <name val="Aptos Display"/>
      <family val="2"/>
      <scheme val="major"/>
    </font>
    <font>
      <b/>
      <sz val="11"/>
      <color rgb="FFFF0000"/>
      <name val="Aptos Display"/>
      <family val="2"/>
      <scheme val="major"/>
    </font>
    <font>
      <b/>
      <sz val="11"/>
      <color rgb="FFC00000"/>
      <name val="Aptos Display"/>
      <family val="2"/>
      <scheme val="major"/>
    </font>
    <font>
      <sz val="11"/>
      <name val="Aptos Display"/>
      <family val="2"/>
      <scheme val="major"/>
    </font>
    <font>
      <b/>
      <sz val="11"/>
      <color rgb="FF0000FF"/>
      <name val="Aptos Display"/>
      <family val="2"/>
      <scheme val="major"/>
    </font>
    <font>
      <sz val="11"/>
      <color rgb="FF0000FF"/>
      <name val="Aptos Display"/>
      <family val="2"/>
      <scheme val="major"/>
    </font>
    <font>
      <sz val="11"/>
      <color theme="1"/>
      <name val="Aptos Narrow"/>
      <family val="2"/>
      <charset val="222"/>
      <scheme val="minor"/>
    </font>
    <font>
      <b/>
      <sz val="12"/>
      <color theme="4" tint="-0.499984740745262"/>
      <name val="Century Gothic"/>
      <family val="2"/>
    </font>
    <font>
      <sz val="11"/>
      <color theme="0" tint="-0.14999847407452621"/>
      <name val="Aptos Display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rgb="FF002060"/>
      <name val="Century Gothic"/>
      <family val="2"/>
    </font>
    <font>
      <b/>
      <sz val="12"/>
      <color rgb="FFFF0000"/>
      <name val="Century Gothic"/>
      <family val="2"/>
    </font>
    <font>
      <sz val="12"/>
      <color theme="0"/>
      <name val="Century Gothic"/>
      <family val="2"/>
    </font>
    <font>
      <b/>
      <vertAlign val="subscript"/>
      <sz val="12"/>
      <color theme="4" tint="-0.499984740745262"/>
      <name val="Century Gothic"/>
      <family val="2"/>
    </font>
    <font>
      <b/>
      <sz val="18"/>
      <color rgb="FFFF0000"/>
      <name val="Century Gothic"/>
      <family val="2"/>
    </font>
    <font>
      <b/>
      <sz val="14"/>
      <color rgb="FFFF0000"/>
      <name val="Century Gothic"/>
      <family val="2"/>
    </font>
    <font>
      <sz val="12"/>
      <color rgb="FFFF0000"/>
      <name val="Century Gothic"/>
      <family val="2"/>
    </font>
    <font>
      <sz val="8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11"/>
      <name val="Aptos Narrow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7" fillId="0" borderId="0"/>
    <xf numFmtId="0" fontId="28" fillId="0" borderId="0"/>
  </cellStyleXfs>
  <cellXfs count="950">
    <xf numFmtId="0" fontId="0" fillId="0" borderId="0" xfId="0"/>
    <xf numFmtId="16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3" borderId="0" xfId="0" applyFill="1"/>
    <xf numFmtId="0" fontId="1" fillId="0" borderId="36" xfId="0" applyFont="1" applyBorder="1"/>
    <xf numFmtId="0" fontId="1" fillId="0" borderId="36" xfId="0" applyFont="1" applyBorder="1" applyAlignment="1">
      <alignment horizontal="center"/>
    </xf>
    <xf numFmtId="0" fontId="0" fillId="11" borderId="0" xfId="0" applyFill="1"/>
    <xf numFmtId="0" fontId="0" fillId="9" borderId="0" xfId="0" applyFill="1"/>
    <xf numFmtId="16" fontId="0" fillId="11" borderId="0" xfId="0" applyNumberFormat="1" applyFill="1"/>
    <xf numFmtId="0" fontId="18" fillId="0" borderId="0" xfId="1" applyFont="1"/>
    <xf numFmtId="0" fontId="18" fillId="4" borderId="0" xfId="1" applyFont="1" applyFill="1"/>
    <xf numFmtId="0" fontId="18" fillId="3" borderId="0" xfId="1" applyFont="1" applyFill="1"/>
    <xf numFmtId="0" fontId="19" fillId="0" borderId="0" xfId="1" applyFont="1"/>
    <xf numFmtId="0" fontId="19" fillId="0" borderId="0" xfId="1" applyFont="1" applyAlignment="1">
      <alignment horizontal="center"/>
    </xf>
    <xf numFmtId="16" fontId="18" fillId="0" borderId="0" xfId="1" applyNumberFormat="1" applyFont="1"/>
    <xf numFmtId="0" fontId="18" fillId="0" borderId="23" xfId="1" applyFont="1" applyBorder="1"/>
    <xf numFmtId="0" fontId="18" fillId="0" borderId="26" xfId="1" applyFont="1" applyBorder="1"/>
    <xf numFmtId="0" fontId="18" fillId="0" borderId="56" xfId="1" applyFont="1" applyBorder="1"/>
    <xf numFmtId="0" fontId="18" fillId="0" borderId="56" xfId="1" applyFont="1" applyBorder="1" applyAlignment="1">
      <alignment horizontal="center" vertical="center"/>
    </xf>
    <xf numFmtId="0" fontId="18" fillId="0" borderId="68" xfId="1" applyFont="1" applyBorder="1"/>
    <xf numFmtId="0" fontId="18" fillId="0" borderId="63" xfId="1" applyFont="1" applyBorder="1"/>
    <xf numFmtId="0" fontId="18" fillId="0" borderId="57" xfId="1" applyFont="1" applyBorder="1" applyAlignment="1">
      <alignment horizontal="center" vertical="center"/>
    </xf>
    <xf numFmtId="0" fontId="18" fillId="0" borderId="16" xfId="1" applyFont="1" applyBorder="1"/>
    <xf numFmtId="0" fontId="18" fillId="0" borderId="72" xfId="1" applyFont="1" applyBorder="1"/>
    <xf numFmtId="0" fontId="18" fillId="0" borderId="0" xfId="1" applyFont="1" applyAlignment="1">
      <alignment horizontal="center"/>
    </xf>
    <xf numFmtId="0" fontId="18" fillId="0" borderId="58" xfId="1" applyFont="1" applyBorder="1" applyAlignment="1">
      <alignment horizontal="center" vertical="center"/>
    </xf>
    <xf numFmtId="0" fontId="18" fillId="0" borderId="70" xfId="1" applyFont="1" applyBorder="1"/>
    <xf numFmtId="0" fontId="18" fillId="0" borderId="73" xfId="1" applyFont="1" applyBorder="1"/>
    <xf numFmtId="0" fontId="18" fillId="0" borderId="34" xfId="1" applyFont="1" applyBorder="1" applyAlignment="1">
      <alignment horizontal="center" vertical="center"/>
    </xf>
    <xf numFmtId="0" fontId="18" fillId="0" borderId="34" xfId="1" applyFont="1" applyBorder="1"/>
    <xf numFmtId="0" fontId="18" fillId="0" borderId="38" xfId="1" applyFont="1" applyBorder="1"/>
    <xf numFmtId="0" fontId="18" fillId="0" borderId="45" xfId="1" applyFont="1" applyBorder="1"/>
    <xf numFmtId="0" fontId="18" fillId="0" borderId="57" xfId="1" applyFont="1" applyBorder="1"/>
    <xf numFmtId="0" fontId="18" fillId="0" borderId="67" xfId="1" applyFont="1" applyBorder="1"/>
    <xf numFmtId="0" fontId="18" fillId="0" borderId="74" xfId="1" applyFont="1" applyBorder="1"/>
    <xf numFmtId="0" fontId="18" fillId="0" borderId="69" xfId="1" applyFont="1" applyBorder="1"/>
    <xf numFmtId="0" fontId="18" fillId="0" borderId="76" xfId="1" applyFont="1" applyBorder="1"/>
    <xf numFmtId="0" fontId="20" fillId="13" borderId="0" xfId="1" applyFont="1" applyFill="1" applyAlignment="1">
      <alignment horizontal="center" vertical="center"/>
    </xf>
    <xf numFmtId="0" fontId="19" fillId="4" borderId="0" xfId="1" applyFont="1" applyFill="1" applyAlignment="1">
      <alignment horizontal="left"/>
    </xf>
    <xf numFmtId="0" fontId="18" fillId="0" borderId="16" xfId="1" applyFont="1" applyBorder="1" applyAlignment="1">
      <alignment horizontal="center" vertical="center"/>
    </xf>
    <xf numFmtId="0" fontId="18" fillId="0" borderId="70" xfId="1" applyFont="1" applyBorder="1" applyAlignment="1">
      <alignment horizontal="center" vertical="center"/>
    </xf>
    <xf numFmtId="0" fontId="18" fillId="0" borderId="30" xfId="1" applyFont="1" applyBorder="1"/>
    <xf numFmtId="0" fontId="19" fillId="4" borderId="34" xfId="1" applyFont="1" applyFill="1" applyBorder="1" applyAlignment="1">
      <alignment horizontal="center" vertical="center"/>
    </xf>
    <xf numFmtId="0" fontId="19" fillId="13" borderId="36" xfId="1" applyFont="1" applyFill="1" applyBorder="1" applyAlignment="1">
      <alignment horizontal="center" vertical="center"/>
    </xf>
    <xf numFmtId="0" fontId="19" fillId="13" borderId="34" xfId="1" applyFont="1" applyFill="1" applyBorder="1" applyAlignment="1">
      <alignment horizontal="center" vertical="center"/>
    </xf>
    <xf numFmtId="0" fontId="19" fillId="8" borderId="0" xfId="1" applyFont="1" applyFill="1" applyAlignment="1">
      <alignment horizontal="center" vertical="center"/>
    </xf>
    <xf numFmtId="0" fontId="19" fillId="4" borderId="0" xfId="1" applyFont="1" applyFill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8" fillId="0" borderId="0" xfId="1" applyFont="1" applyAlignment="1">
      <alignment horizontal="center" vertical="center" wrapText="1"/>
    </xf>
    <xf numFmtId="0" fontId="19" fillId="0" borderId="0" xfId="1" applyFont="1" applyAlignment="1">
      <alignment horizontal="center" vertical="center"/>
    </xf>
    <xf numFmtId="0" fontId="18" fillId="0" borderId="71" xfId="1" applyFont="1" applyBorder="1"/>
    <xf numFmtId="0" fontId="18" fillId="0" borderId="40" xfId="1" applyFont="1" applyBorder="1"/>
    <xf numFmtId="0" fontId="19" fillId="0" borderId="56" xfId="1" applyFont="1" applyBorder="1" applyAlignment="1">
      <alignment horizontal="center" vertical="center" wrapText="1"/>
    </xf>
    <xf numFmtId="0" fontId="19" fillId="0" borderId="23" xfId="1" applyFont="1" applyBorder="1" applyAlignment="1">
      <alignment horizontal="center" vertical="center"/>
    </xf>
    <xf numFmtId="0" fontId="19" fillId="0" borderId="20" xfId="1" applyFont="1" applyBorder="1" applyAlignment="1">
      <alignment horizontal="center" vertical="center"/>
    </xf>
    <xf numFmtId="0" fontId="19" fillId="0" borderId="43" xfId="1" applyFont="1" applyBorder="1" applyAlignment="1">
      <alignment horizontal="center" vertical="center" wrapText="1"/>
    </xf>
    <xf numFmtId="0" fontId="19" fillId="0" borderId="44" xfId="1" applyFont="1" applyBorder="1" applyAlignment="1">
      <alignment horizontal="center" vertical="center" wrapText="1"/>
    </xf>
    <xf numFmtId="0" fontId="19" fillId="4" borderId="56" xfId="1" applyFont="1" applyFill="1" applyBorder="1" applyAlignment="1">
      <alignment horizontal="center" vertical="center" wrapText="1"/>
    </xf>
    <xf numFmtId="0" fontId="19" fillId="0" borderId="42" xfId="1" applyFont="1" applyBorder="1" applyAlignment="1">
      <alignment horizontal="center" vertical="center" wrapText="1"/>
    </xf>
    <xf numFmtId="0" fontId="19" fillId="0" borderId="50" xfId="1" applyFont="1" applyBorder="1" applyAlignment="1">
      <alignment horizontal="center" vertical="center"/>
    </xf>
    <xf numFmtId="0" fontId="19" fillId="0" borderId="25" xfId="1" applyFont="1" applyBorder="1" applyAlignment="1">
      <alignment horizontal="center" vertical="center"/>
    </xf>
    <xf numFmtId="0" fontId="19" fillId="13" borderId="43" xfId="1" applyFont="1" applyFill="1" applyBorder="1" applyAlignment="1">
      <alignment horizontal="center" vertical="center"/>
    </xf>
    <xf numFmtId="0" fontId="19" fillId="0" borderId="24" xfId="1" applyFont="1" applyBorder="1" applyAlignment="1">
      <alignment horizontal="center" vertical="center"/>
    </xf>
    <xf numFmtId="0" fontId="19" fillId="13" borderId="68" xfId="1" applyFont="1" applyFill="1" applyBorder="1" applyAlignment="1">
      <alignment horizontal="center" vertical="center"/>
    </xf>
    <xf numFmtId="0" fontId="19" fillId="0" borderId="43" xfId="1" applyFont="1" applyBorder="1" applyAlignment="1">
      <alignment horizontal="center" vertical="center"/>
    </xf>
    <xf numFmtId="0" fontId="19" fillId="13" borderId="50" xfId="1" applyFont="1" applyFill="1" applyBorder="1" applyAlignment="1">
      <alignment horizontal="center" vertical="center"/>
    </xf>
    <xf numFmtId="0" fontId="19" fillId="4" borderId="50" xfId="1" applyFont="1" applyFill="1" applyBorder="1" applyAlignment="1">
      <alignment horizontal="center" vertical="center"/>
    </xf>
    <xf numFmtId="0" fontId="19" fillId="0" borderId="44" xfId="1" applyFont="1" applyBorder="1" applyAlignment="1">
      <alignment horizontal="center" vertical="center"/>
    </xf>
    <xf numFmtId="0" fontId="19" fillId="0" borderId="56" xfId="1" applyFont="1" applyBorder="1" applyAlignment="1">
      <alignment horizontal="center" vertical="center"/>
    </xf>
    <xf numFmtId="0" fontId="19" fillId="12" borderId="56" xfId="1" applyFont="1" applyFill="1" applyBorder="1" applyAlignment="1">
      <alignment horizontal="center" vertical="center" wrapText="1"/>
    </xf>
    <xf numFmtId="0" fontId="19" fillId="0" borderId="4" xfId="1" applyFont="1" applyBorder="1" applyAlignment="1">
      <alignment horizontal="center" vertical="center"/>
    </xf>
    <xf numFmtId="0" fontId="19" fillId="0" borderId="5" xfId="1" applyFont="1" applyBorder="1" applyAlignment="1">
      <alignment horizontal="center" vertical="center"/>
    </xf>
    <xf numFmtId="0" fontId="19" fillId="0" borderId="6" xfId="1" applyFont="1" applyBorder="1" applyAlignment="1">
      <alignment horizontal="center" vertical="center"/>
    </xf>
    <xf numFmtId="0" fontId="19" fillId="0" borderId="34" xfId="1" applyFont="1" applyBorder="1" applyAlignment="1">
      <alignment horizontal="center" vertical="center" wrapText="1"/>
    </xf>
    <xf numFmtId="0" fontId="18" fillId="0" borderId="44" xfId="1" applyFont="1" applyBorder="1" applyAlignment="1">
      <alignment horizontal="center" vertical="center"/>
    </xf>
    <xf numFmtId="0" fontId="19" fillId="0" borderId="57" xfId="1" applyFont="1" applyBorder="1" applyAlignment="1">
      <alignment horizontal="center" vertical="center" wrapText="1"/>
    </xf>
    <xf numFmtId="16" fontId="19" fillId="0" borderId="14" xfId="1" applyNumberFormat="1" applyFont="1" applyBorder="1" applyAlignment="1">
      <alignment horizontal="center" vertical="center"/>
    </xf>
    <xf numFmtId="16" fontId="19" fillId="0" borderId="12" xfId="1" applyNumberFormat="1" applyFont="1" applyBorder="1" applyAlignment="1">
      <alignment horizontal="center" vertical="center"/>
    </xf>
    <xf numFmtId="16" fontId="19" fillId="0" borderId="77" xfId="1" applyNumberFormat="1" applyFont="1" applyBorder="1" applyAlignment="1">
      <alignment horizontal="center" vertical="center"/>
    </xf>
    <xf numFmtId="0" fontId="19" fillId="0" borderId="45" xfId="1" applyFont="1" applyBorder="1" applyAlignment="1">
      <alignment horizontal="center" vertical="center" wrapText="1"/>
    </xf>
    <xf numFmtId="0" fontId="19" fillId="0" borderId="14" xfId="1" applyFont="1" applyBorder="1" applyAlignment="1">
      <alignment horizontal="center" vertical="center" wrapText="1"/>
    </xf>
    <xf numFmtId="0" fontId="19" fillId="0" borderId="27" xfId="1" applyFont="1" applyBorder="1" applyAlignment="1">
      <alignment horizontal="center" vertical="center" wrapText="1"/>
    </xf>
    <xf numFmtId="0" fontId="18" fillId="4" borderId="57" xfId="1" applyFont="1" applyFill="1" applyBorder="1" applyAlignment="1">
      <alignment horizontal="center" vertical="center" wrapText="1"/>
    </xf>
    <xf numFmtId="0" fontId="19" fillId="0" borderId="39" xfId="1" applyFont="1" applyBorder="1" applyAlignment="1">
      <alignment horizontal="center" vertical="center" wrapText="1"/>
    </xf>
    <xf numFmtId="0" fontId="18" fillId="0" borderId="31" xfId="1" applyFont="1" applyBorder="1" applyAlignment="1">
      <alignment horizontal="center" vertical="center"/>
    </xf>
    <xf numFmtId="0" fontId="18" fillId="0" borderId="13" xfId="1" applyFont="1" applyBorder="1" applyAlignment="1">
      <alignment horizontal="center" vertical="center"/>
    </xf>
    <xf numFmtId="0" fontId="18" fillId="0" borderId="30" xfId="1" applyFont="1" applyBorder="1" applyAlignment="1">
      <alignment horizontal="center" vertical="center"/>
    </xf>
    <xf numFmtId="0" fontId="18" fillId="0" borderId="15" xfId="1" applyFont="1" applyBorder="1" applyAlignment="1">
      <alignment horizontal="center" vertical="center"/>
    </xf>
    <xf numFmtId="0" fontId="18" fillId="0" borderId="78" xfId="1" applyFont="1" applyBorder="1" applyAlignment="1">
      <alignment horizontal="center" vertical="center"/>
    </xf>
    <xf numFmtId="0" fontId="18" fillId="0" borderId="79" xfId="1" applyFont="1" applyBorder="1" applyAlignment="1">
      <alignment horizontal="center" vertical="center"/>
    </xf>
    <xf numFmtId="0" fontId="18" fillId="0" borderId="12" xfId="1" applyFont="1" applyBorder="1" applyAlignment="1">
      <alignment horizontal="center" vertical="center"/>
    </xf>
    <xf numFmtId="0" fontId="18" fillId="0" borderId="27" xfId="1" applyFont="1" applyBorder="1" applyAlignment="1">
      <alignment horizontal="center" vertical="center"/>
    </xf>
    <xf numFmtId="0" fontId="18" fillId="0" borderId="14" xfId="1" applyFont="1" applyBorder="1" applyAlignment="1">
      <alignment horizontal="center" vertical="center"/>
    </xf>
    <xf numFmtId="0" fontId="18" fillId="0" borderId="77" xfId="1" applyFont="1" applyBorder="1" applyAlignment="1">
      <alignment horizontal="center" vertical="center"/>
    </xf>
    <xf numFmtId="0" fontId="18" fillId="0" borderId="56" xfId="1" applyFont="1" applyBorder="1" applyAlignment="1">
      <alignment horizontal="center" vertical="center" wrapText="1"/>
    </xf>
    <xf numFmtId="0" fontId="18" fillId="0" borderId="23" xfId="1" applyFont="1" applyBorder="1" applyAlignment="1">
      <alignment horizontal="center" vertical="center"/>
    </xf>
    <xf numFmtId="0" fontId="18" fillId="0" borderId="25" xfId="1" applyFont="1" applyBorder="1" applyAlignment="1">
      <alignment horizontal="center" vertical="center"/>
    </xf>
    <xf numFmtId="0" fontId="18" fillId="13" borderId="0" xfId="1" applyFont="1" applyFill="1" applyAlignment="1">
      <alignment horizontal="center" vertical="center"/>
    </xf>
    <xf numFmtId="0" fontId="18" fillId="0" borderId="39" xfId="1" applyFont="1" applyBorder="1" applyAlignment="1">
      <alignment horizontal="center" vertical="center"/>
    </xf>
    <xf numFmtId="0" fontId="18" fillId="0" borderId="45" xfId="1" applyFont="1" applyBorder="1" applyAlignment="1">
      <alignment horizontal="center" vertical="center"/>
    </xf>
    <xf numFmtId="0" fontId="18" fillId="0" borderId="24" xfId="1" applyFont="1" applyBorder="1" applyAlignment="1">
      <alignment horizontal="center" vertical="center"/>
    </xf>
    <xf numFmtId="0" fontId="18" fillId="0" borderId="26" xfId="1" applyFont="1" applyBorder="1" applyAlignment="1">
      <alignment horizontal="center" vertical="center"/>
    </xf>
    <xf numFmtId="0" fontId="18" fillId="13" borderId="69" xfId="1" applyFont="1" applyFill="1" applyBorder="1" applyAlignment="1">
      <alignment horizontal="center" vertical="center"/>
    </xf>
    <xf numFmtId="0" fontId="18" fillId="0" borderId="24" xfId="1" applyFont="1" applyBorder="1" applyAlignment="1">
      <alignment horizontal="center" vertical="center" wrapText="1"/>
    </xf>
    <xf numFmtId="0" fontId="18" fillId="0" borderId="20" xfId="1" applyFont="1" applyBorder="1" applyAlignment="1">
      <alignment horizontal="center" vertical="center"/>
    </xf>
    <xf numFmtId="0" fontId="18" fillId="13" borderId="22" xfId="1" applyFont="1" applyFill="1" applyBorder="1" applyAlignment="1">
      <alignment horizontal="center" vertical="center"/>
    </xf>
    <xf numFmtId="0" fontId="18" fillId="4" borderId="22" xfId="1" applyFont="1" applyFill="1" applyBorder="1" applyAlignment="1">
      <alignment horizontal="center" vertical="center"/>
    </xf>
    <xf numFmtId="0" fontId="19" fillId="0" borderId="4" xfId="1" applyFont="1" applyBorder="1" applyAlignment="1">
      <alignment horizontal="center" vertical="center" wrapText="1"/>
    </xf>
    <xf numFmtId="0" fontId="19" fillId="0" borderId="5" xfId="1" applyFont="1" applyBorder="1" applyAlignment="1">
      <alignment horizontal="center" vertical="center" wrapText="1"/>
    </xf>
    <xf numFmtId="0" fontId="19" fillId="0" borderId="6" xfId="1" applyFont="1" applyBorder="1" applyAlignment="1">
      <alignment horizontal="center" vertical="center" wrapText="1"/>
    </xf>
    <xf numFmtId="0" fontId="19" fillId="12" borderId="0" xfId="1" applyFont="1" applyFill="1" applyAlignment="1">
      <alignment horizontal="center" vertical="center" wrapText="1"/>
    </xf>
    <xf numFmtId="0" fontId="19" fillId="10" borderId="23" xfId="1" applyFont="1" applyFill="1" applyBorder="1" applyAlignment="1">
      <alignment horizontal="center" vertical="center"/>
    </xf>
    <xf numFmtId="0" fontId="19" fillId="10" borderId="25" xfId="1" applyFont="1" applyFill="1" applyBorder="1" applyAlignment="1">
      <alignment horizontal="center" vertical="center"/>
    </xf>
    <xf numFmtId="0" fontId="19" fillId="12" borderId="4" xfId="1" applyFont="1" applyFill="1" applyBorder="1" applyAlignment="1">
      <alignment horizontal="center" vertical="center" wrapText="1"/>
    </xf>
    <xf numFmtId="0" fontId="19" fillId="12" borderId="6" xfId="1" applyFont="1" applyFill="1" applyBorder="1" applyAlignment="1">
      <alignment horizontal="center" vertical="center"/>
    </xf>
    <xf numFmtId="16" fontId="24" fillId="0" borderId="54" xfId="1" applyNumberFormat="1" applyFont="1" applyBorder="1"/>
    <xf numFmtId="0" fontId="24" fillId="0" borderId="49" xfId="1" applyFont="1" applyBorder="1" applyAlignment="1">
      <alignment horizontal="center" vertical="center"/>
    </xf>
    <xf numFmtId="0" fontId="18" fillId="0" borderId="68" xfId="1" applyFont="1" applyBorder="1" applyAlignment="1">
      <alignment horizontal="center" vertical="center" wrapText="1"/>
    </xf>
    <xf numFmtId="0" fontId="18" fillId="0" borderId="63" xfId="1" applyFont="1" applyBorder="1" applyAlignment="1">
      <alignment horizontal="center" vertical="center" wrapText="1"/>
    </xf>
    <xf numFmtId="0" fontId="18" fillId="0" borderId="51" xfId="1" applyFont="1" applyBorder="1" applyAlignment="1">
      <alignment horizontal="center" vertical="center"/>
    </xf>
    <xf numFmtId="0" fontId="18" fillId="0" borderId="48" xfId="1" applyFont="1" applyBorder="1" applyAlignment="1">
      <alignment horizontal="center" vertical="center"/>
    </xf>
    <xf numFmtId="0" fontId="18" fillId="0" borderId="52" xfId="1" applyFont="1" applyBorder="1" applyAlignment="1">
      <alignment horizontal="center" vertical="center"/>
    </xf>
    <xf numFmtId="0" fontId="18" fillId="0" borderId="51" xfId="1" applyFont="1" applyBorder="1" applyAlignment="1">
      <alignment horizontal="center" vertical="center" wrapText="1"/>
    </xf>
    <xf numFmtId="0" fontId="18" fillId="0" borderId="49" xfId="1" applyFont="1" applyBorder="1" applyAlignment="1">
      <alignment horizontal="center" vertical="center"/>
    </xf>
    <xf numFmtId="0" fontId="18" fillId="4" borderId="68" xfId="1" applyFont="1" applyFill="1" applyBorder="1" applyAlignment="1">
      <alignment horizontal="center" vertical="center"/>
    </xf>
    <xf numFmtId="0" fontId="18" fillId="5" borderId="68" xfId="1" applyFont="1" applyFill="1" applyBorder="1" applyAlignment="1">
      <alignment horizontal="center" vertical="center" wrapText="1"/>
    </xf>
    <xf numFmtId="0" fontId="18" fillId="0" borderId="50" xfId="1" applyFont="1" applyBorder="1" applyAlignment="1">
      <alignment horizontal="center" vertical="center" wrapText="1"/>
    </xf>
    <xf numFmtId="164" fontId="18" fillId="3" borderId="54" xfId="1" applyNumberFormat="1" applyFont="1" applyFill="1" applyBorder="1" applyAlignment="1">
      <alignment horizontal="center" vertical="center"/>
    </xf>
    <xf numFmtId="164" fontId="18" fillId="3" borderId="48" xfId="1" applyNumberFormat="1" applyFont="1" applyFill="1" applyBorder="1" applyAlignment="1">
      <alignment horizontal="center" vertical="center"/>
    </xf>
    <xf numFmtId="164" fontId="18" fillId="3" borderId="52" xfId="1" applyNumberFormat="1" applyFont="1" applyFill="1" applyBorder="1" applyAlignment="1">
      <alignment horizontal="center" vertical="center"/>
    </xf>
    <xf numFmtId="164" fontId="18" fillId="3" borderId="7" xfId="1" applyNumberFormat="1" applyFont="1" applyFill="1" applyBorder="1" applyAlignment="1">
      <alignment horizontal="center" vertical="center"/>
    </xf>
    <xf numFmtId="164" fontId="18" fillId="3" borderId="1" xfId="1" applyNumberFormat="1" applyFont="1" applyFill="1" applyBorder="1" applyAlignment="1">
      <alignment horizontal="center" vertical="center"/>
    </xf>
    <xf numFmtId="164" fontId="18" fillId="3" borderId="11" xfId="1" applyNumberFormat="1" applyFont="1" applyFill="1" applyBorder="1" applyAlignment="1">
      <alignment horizontal="center" vertical="center"/>
    </xf>
    <xf numFmtId="164" fontId="18" fillId="3" borderId="17" xfId="1" applyNumberFormat="1" applyFont="1" applyFill="1" applyBorder="1" applyAlignment="1">
      <alignment horizontal="center" vertical="center"/>
    </xf>
    <xf numFmtId="164" fontId="18" fillId="3" borderId="18" xfId="1" applyNumberFormat="1" applyFont="1" applyFill="1" applyBorder="1" applyAlignment="1">
      <alignment horizontal="center" vertical="center"/>
    </xf>
    <xf numFmtId="164" fontId="18" fillId="3" borderId="19" xfId="1" applyNumberFormat="1" applyFont="1" applyFill="1" applyBorder="1" applyAlignment="1">
      <alignment horizontal="center" vertical="center"/>
    </xf>
    <xf numFmtId="164" fontId="18" fillId="3" borderId="8" xfId="1" applyNumberFormat="1" applyFont="1" applyFill="1" applyBorder="1" applyAlignment="1">
      <alignment horizontal="center" vertical="center"/>
    </xf>
    <xf numFmtId="164" fontId="18" fillId="3" borderId="9" xfId="1" applyNumberFormat="1" applyFont="1" applyFill="1" applyBorder="1" applyAlignment="1">
      <alignment horizontal="center" vertical="center"/>
    </xf>
    <xf numFmtId="164" fontId="18" fillId="9" borderId="10" xfId="1" applyNumberFormat="1" applyFont="1" applyFill="1" applyBorder="1" applyAlignment="1">
      <alignment horizontal="center" vertical="center"/>
    </xf>
    <xf numFmtId="164" fontId="18" fillId="9" borderId="1" xfId="1" applyNumberFormat="1" applyFont="1" applyFill="1" applyBorder="1" applyAlignment="1">
      <alignment horizontal="center" vertical="center"/>
    </xf>
    <xf numFmtId="164" fontId="18" fillId="9" borderId="11" xfId="1" applyNumberFormat="1" applyFont="1" applyFill="1" applyBorder="1" applyAlignment="1">
      <alignment horizontal="center" vertical="center"/>
    </xf>
    <xf numFmtId="164" fontId="18" fillId="11" borderId="10" xfId="1" applyNumberFormat="1" applyFont="1" applyFill="1" applyBorder="1" applyAlignment="1">
      <alignment horizontal="center" vertical="center"/>
    </xf>
    <xf numFmtId="164" fontId="18" fillId="11" borderId="1" xfId="1" applyNumberFormat="1" applyFont="1" applyFill="1" applyBorder="1" applyAlignment="1">
      <alignment horizontal="center" vertical="center"/>
    </xf>
    <xf numFmtId="164" fontId="18" fillId="11" borderId="11" xfId="1" applyNumberFormat="1" applyFont="1" applyFill="1" applyBorder="1" applyAlignment="1">
      <alignment horizontal="center" vertical="center"/>
    </xf>
    <xf numFmtId="164" fontId="18" fillId="3" borderId="10" xfId="1" applyNumberFormat="1" applyFont="1" applyFill="1" applyBorder="1" applyAlignment="1">
      <alignment horizontal="center" vertical="center"/>
    </xf>
    <xf numFmtId="2" fontId="18" fillId="0" borderId="51" xfId="1" applyNumberFormat="1" applyFont="1" applyBorder="1" applyAlignment="1">
      <alignment horizontal="center" vertical="center"/>
    </xf>
    <xf numFmtId="2" fontId="18" fillId="0" borderId="48" xfId="1" applyNumberFormat="1" applyFont="1" applyBorder="1" applyAlignment="1">
      <alignment horizontal="center" vertical="center"/>
    </xf>
    <xf numFmtId="2" fontId="18" fillId="3" borderId="48" xfId="1" applyNumberFormat="1" applyFont="1" applyFill="1" applyBorder="1" applyAlignment="1">
      <alignment horizontal="center" vertical="center"/>
    </xf>
    <xf numFmtId="2" fontId="18" fillId="3" borderId="1" xfId="1" applyNumberFormat="1" applyFont="1" applyFill="1" applyBorder="1" applyAlignment="1">
      <alignment horizontal="center" vertical="center"/>
    </xf>
    <xf numFmtId="2" fontId="18" fillId="3" borderId="21" xfId="1" applyNumberFormat="1" applyFont="1" applyFill="1" applyBorder="1" applyAlignment="1">
      <alignment horizontal="center" vertical="center"/>
    </xf>
    <xf numFmtId="0" fontId="18" fillId="3" borderId="29" xfId="1" applyFont="1" applyFill="1" applyBorder="1" applyAlignment="1">
      <alignment horizontal="center" vertical="center"/>
    </xf>
    <xf numFmtId="0" fontId="18" fillId="3" borderId="8" xfId="1" applyFont="1" applyFill="1" applyBorder="1" applyAlignment="1">
      <alignment horizontal="center" vertical="center"/>
    </xf>
    <xf numFmtId="0" fontId="18" fillId="9" borderId="32" xfId="1" applyFont="1" applyFill="1" applyBorder="1" applyAlignment="1">
      <alignment horizontal="center" vertical="center"/>
    </xf>
    <xf numFmtId="0" fontId="18" fillId="9" borderId="1" xfId="1" applyFont="1" applyFill="1" applyBorder="1" applyAlignment="1">
      <alignment horizontal="center" vertical="center"/>
    </xf>
    <xf numFmtId="0" fontId="18" fillId="11" borderId="32" xfId="1" applyFont="1" applyFill="1" applyBorder="1" applyAlignment="1">
      <alignment horizontal="center" vertical="center"/>
    </xf>
    <xf numFmtId="0" fontId="18" fillId="11" borderId="1" xfId="1" applyFont="1" applyFill="1" applyBorder="1" applyAlignment="1">
      <alignment horizontal="center" vertical="center"/>
    </xf>
    <xf numFmtId="0" fontId="18" fillId="3" borderId="32" xfId="1" applyFont="1" applyFill="1" applyBorder="1" applyAlignment="1">
      <alignment horizontal="center" vertical="center"/>
    </xf>
    <xf numFmtId="0" fontId="18" fillId="3" borderId="1" xfId="1" applyFont="1" applyFill="1" applyBorder="1" applyAlignment="1">
      <alignment horizontal="center" vertical="center"/>
    </xf>
    <xf numFmtId="0" fontId="18" fillId="3" borderId="59" xfId="1" applyFont="1" applyFill="1" applyBorder="1" applyAlignment="1">
      <alignment horizontal="center" vertical="center"/>
    </xf>
    <xf numFmtId="0" fontId="18" fillId="3" borderId="18" xfId="1" applyFont="1" applyFill="1" applyBorder="1" applyAlignment="1">
      <alignment horizontal="center" vertical="center"/>
    </xf>
    <xf numFmtId="0" fontId="18" fillId="3" borderId="28" xfId="1" applyFont="1" applyFill="1" applyBorder="1" applyAlignment="1">
      <alignment horizontal="center" vertical="center"/>
    </xf>
    <xf numFmtId="0" fontId="18" fillId="9" borderId="33" xfId="1" applyFont="1" applyFill="1" applyBorder="1" applyAlignment="1">
      <alignment horizontal="center" vertical="center"/>
    </xf>
    <xf numFmtId="0" fontId="18" fillId="11" borderId="33" xfId="1" applyFont="1" applyFill="1" applyBorder="1" applyAlignment="1">
      <alignment horizontal="center" vertical="center"/>
    </xf>
    <xf numFmtId="0" fontId="18" fillId="3" borderId="33" xfId="1" applyFont="1" applyFill="1" applyBorder="1" applyAlignment="1">
      <alignment horizontal="center" vertical="center"/>
    </xf>
    <xf numFmtId="0" fontId="18" fillId="3" borderId="55" xfId="1" applyFont="1" applyFill="1" applyBorder="1" applyAlignment="1">
      <alignment horizontal="center" vertical="center"/>
    </xf>
    <xf numFmtId="0" fontId="18" fillId="3" borderId="48" xfId="1" applyFont="1" applyFill="1" applyBorder="1" applyAlignment="1">
      <alignment horizontal="center" vertical="center" wrapText="1"/>
    </xf>
    <xf numFmtId="0" fontId="18" fillId="3" borderId="1" xfId="1" applyFont="1" applyFill="1" applyBorder="1" applyAlignment="1">
      <alignment horizontal="center" vertical="center" wrapText="1"/>
    </xf>
    <xf numFmtId="0" fontId="18" fillId="3" borderId="40" xfId="1" applyFont="1" applyFill="1" applyBorder="1" applyAlignment="1">
      <alignment horizontal="center" vertical="center"/>
    </xf>
    <xf numFmtId="0" fontId="18" fillId="3" borderId="2" xfId="1" applyFont="1" applyFill="1" applyBorder="1" applyAlignment="1">
      <alignment horizontal="center" vertical="center"/>
    </xf>
    <xf numFmtId="0" fontId="18" fillId="9" borderId="3" xfId="1" applyFont="1" applyFill="1" applyBorder="1" applyAlignment="1">
      <alignment horizontal="center" vertical="center"/>
    </xf>
    <xf numFmtId="0" fontId="18" fillId="11" borderId="3" xfId="1" applyFont="1" applyFill="1" applyBorder="1" applyAlignment="1">
      <alignment horizontal="center" vertical="center"/>
    </xf>
    <xf numFmtId="0" fontId="18" fillId="3" borderId="3" xfId="1" applyFont="1" applyFill="1" applyBorder="1" applyAlignment="1">
      <alignment horizontal="center" vertical="center"/>
    </xf>
    <xf numFmtId="0" fontId="18" fillId="3" borderId="66" xfId="1" applyFont="1" applyFill="1" applyBorder="1" applyAlignment="1">
      <alignment horizontal="center" vertical="center"/>
    </xf>
    <xf numFmtId="0" fontId="18" fillId="0" borderId="48" xfId="1" applyFont="1" applyBorder="1" applyAlignment="1">
      <alignment horizontal="center" vertical="center" wrapText="1"/>
    </xf>
    <xf numFmtId="2" fontId="18" fillId="3" borderId="48" xfId="1" applyNumberFormat="1" applyFont="1" applyFill="1" applyBorder="1" applyAlignment="1">
      <alignment horizontal="center" vertical="center" wrapText="1"/>
    </xf>
    <xf numFmtId="2" fontId="18" fillId="3" borderId="1" xfId="1" applyNumberFormat="1" applyFont="1" applyFill="1" applyBorder="1" applyAlignment="1">
      <alignment horizontal="center" vertical="center" wrapText="1"/>
    </xf>
    <xf numFmtId="2" fontId="18" fillId="3" borderId="46" xfId="1" applyNumberFormat="1" applyFont="1" applyFill="1" applyBorder="1" applyAlignment="1">
      <alignment horizontal="center" vertical="center"/>
    </xf>
    <xf numFmtId="2" fontId="18" fillId="3" borderId="41" xfId="1" applyNumberFormat="1" applyFont="1" applyFill="1" applyBorder="1" applyAlignment="1">
      <alignment horizontal="center" vertical="center"/>
    </xf>
    <xf numFmtId="2" fontId="18" fillId="9" borderId="41" xfId="1" applyNumberFormat="1" applyFont="1" applyFill="1" applyBorder="1" applyAlignment="1">
      <alignment horizontal="center" vertical="center"/>
    </xf>
    <xf numFmtId="2" fontId="18" fillId="11" borderId="41" xfId="1" applyNumberFormat="1" applyFont="1" applyFill="1" applyBorder="1" applyAlignment="1">
      <alignment horizontal="center" vertical="center"/>
    </xf>
    <xf numFmtId="2" fontId="18" fillId="0" borderId="48" xfId="1" applyNumberFormat="1" applyFont="1" applyBorder="1" applyAlignment="1">
      <alignment horizontal="center" vertical="center" wrapText="1"/>
    </xf>
    <xf numFmtId="2" fontId="18" fillId="0" borderId="49" xfId="1" applyNumberFormat="1" applyFont="1" applyBorder="1" applyAlignment="1">
      <alignment horizontal="center" vertical="center" wrapText="1"/>
    </xf>
    <xf numFmtId="2" fontId="18" fillId="3" borderId="68" xfId="1" applyNumberFormat="1" applyFont="1" applyFill="1" applyBorder="1" applyAlignment="1">
      <alignment horizontal="center" vertical="center" wrapText="1"/>
    </xf>
    <xf numFmtId="2" fontId="18" fillId="3" borderId="67" xfId="1" applyNumberFormat="1" applyFont="1" applyFill="1" applyBorder="1" applyAlignment="1">
      <alignment horizontal="center" vertical="center" wrapText="1"/>
    </xf>
    <xf numFmtId="2" fontId="25" fillId="3" borderId="58" xfId="1" applyNumberFormat="1" applyFont="1" applyFill="1" applyBorder="1" applyAlignment="1">
      <alignment horizontal="center" vertical="center" wrapText="1"/>
    </xf>
    <xf numFmtId="2" fontId="18" fillId="0" borderId="50" xfId="1" applyNumberFormat="1" applyFont="1" applyBorder="1" applyAlignment="1">
      <alignment horizontal="center" vertical="center" wrapText="1"/>
    </xf>
    <xf numFmtId="2" fontId="18" fillId="3" borderId="16" xfId="1" applyNumberFormat="1" applyFont="1" applyFill="1" applyBorder="1" applyAlignment="1">
      <alignment horizontal="center" vertical="center" wrapText="1"/>
    </xf>
    <xf numFmtId="2" fontId="18" fillId="3" borderId="58" xfId="1" applyNumberFormat="1" applyFont="1" applyFill="1" applyBorder="1" applyAlignment="1">
      <alignment horizontal="center" vertical="center"/>
    </xf>
    <xf numFmtId="2" fontId="18" fillId="3" borderId="54" xfId="1" applyNumberFormat="1" applyFont="1" applyFill="1" applyBorder="1" applyAlignment="1">
      <alignment horizontal="center" vertical="center"/>
    </xf>
    <xf numFmtId="2" fontId="18" fillId="3" borderId="10" xfId="1" applyNumberFormat="1" applyFont="1" applyFill="1" applyBorder="1" applyAlignment="1">
      <alignment horizontal="center" vertical="center"/>
    </xf>
    <xf numFmtId="2" fontId="18" fillId="3" borderId="53" xfId="1" applyNumberFormat="1" applyFont="1" applyFill="1" applyBorder="1" applyAlignment="1">
      <alignment horizontal="center" vertical="center"/>
    </xf>
    <xf numFmtId="2" fontId="18" fillId="3" borderId="7" xfId="1" applyNumberFormat="1" applyFont="1" applyFill="1" applyBorder="1" applyAlignment="1">
      <alignment horizontal="center" vertical="center"/>
    </xf>
    <xf numFmtId="2" fontId="18" fillId="9" borderId="10" xfId="1" applyNumberFormat="1" applyFont="1" applyFill="1" applyBorder="1" applyAlignment="1">
      <alignment horizontal="center" vertical="center"/>
    </xf>
    <xf numFmtId="2" fontId="18" fillId="11" borderId="10" xfId="1" applyNumberFormat="1" applyFont="1" applyFill="1" applyBorder="1" applyAlignment="1">
      <alignment horizontal="center" vertical="center"/>
    </xf>
    <xf numFmtId="2" fontId="18" fillId="3" borderId="17" xfId="1" applyNumberFormat="1" applyFont="1" applyFill="1" applyBorder="1" applyAlignment="1">
      <alignment horizontal="center" vertical="center"/>
    </xf>
    <xf numFmtId="2" fontId="18" fillId="3" borderId="52" xfId="1" applyNumberFormat="1" applyFont="1" applyFill="1" applyBorder="1" applyAlignment="1">
      <alignment horizontal="center" vertical="center"/>
    </xf>
    <xf numFmtId="2" fontId="18" fillId="3" borderId="11" xfId="1" applyNumberFormat="1" applyFont="1" applyFill="1" applyBorder="1" applyAlignment="1">
      <alignment horizontal="center" vertical="center"/>
    </xf>
    <xf numFmtId="2" fontId="25" fillId="3" borderId="64" xfId="1" applyNumberFormat="1" applyFont="1" applyFill="1" applyBorder="1" applyAlignment="1">
      <alignment horizontal="center" vertical="center"/>
    </xf>
    <xf numFmtId="2" fontId="18" fillId="3" borderId="9" xfId="1" applyNumberFormat="1" applyFont="1" applyFill="1" applyBorder="1" applyAlignment="1">
      <alignment horizontal="center" vertical="center"/>
    </xf>
    <xf numFmtId="2" fontId="18" fillId="9" borderId="11" xfId="1" applyNumberFormat="1" applyFont="1" applyFill="1" applyBorder="1" applyAlignment="1">
      <alignment horizontal="center" vertical="center"/>
    </xf>
    <xf numFmtId="2" fontId="18" fillId="11" borderId="11" xfId="1" applyNumberFormat="1" applyFont="1" applyFill="1" applyBorder="1" applyAlignment="1">
      <alignment horizontal="center" vertical="center"/>
    </xf>
    <xf numFmtId="2" fontId="18" fillId="3" borderId="19" xfId="1" applyNumberFormat="1" applyFont="1" applyFill="1" applyBorder="1" applyAlignment="1">
      <alignment horizontal="center" vertical="center"/>
    </xf>
    <xf numFmtId="2" fontId="18" fillId="0" borderId="54" xfId="1" applyNumberFormat="1" applyFont="1" applyBorder="1" applyAlignment="1">
      <alignment horizontal="center" vertical="center"/>
    </xf>
    <xf numFmtId="2" fontId="18" fillId="0" borderId="52" xfId="1" applyNumberFormat="1" applyFont="1" applyBorder="1" applyAlignment="1">
      <alignment horizontal="center" vertical="center"/>
    </xf>
    <xf numFmtId="0" fontId="18" fillId="13" borderId="51" xfId="1" applyFont="1" applyFill="1" applyBorder="1" applyAlignment="1">
      <alignment horizontal="center" vertical="center"/>
    </xf>
    <xf numFmtId="0" fontId="18" fillId="6" borderId="60" xfId="1" applyFont="1" applyFill="1" applyBorder="1" applyAlignment="1">
      <alignment horizontal="center" vertical="center"/>
    </xf>
    <xf numFmtId="0" fontId="18" fillId="0" borderId="68" xfId="1" applyFont="1" applyBorder="1" applyAlignment="1">
      <alignment horizontal="center" vertical="center"/>
    </xf>
    <xf numFmtId="0" fontId="18" fillId="3" borderId="48" xfId="1" applyFont="1" applyFill="1" applyBorder="1" applyAlignment="1">
      <alignment horizontal="center" vertical="center"/>
    </xf>
    <xf numFmtId="0" fontId="18" fillId="3" borderId="49" xfId="1" applyFont="1" applyFill="1" applyBorder="1" applyAlignment="1">
      <alignment horizontal="center" vertical="center"/>
    </xf>
    <xf numFmtId="0" fontId="18" fillId="0" borderId="54" xfId="1" applyFont="1" applyBorder="1" applyAlignment="1">
      <alignment horizontal="center" vertical="center"/>
    </xf>
    <xf numFmtId="0" fontId="18" fillId="3" borderId="60" xfId="1" applyFont="1" applyFill="1" applyBorder="1" applyAlignment="1">
      <alignment horizontal="center" vertical="center"/>
    </xf>
    <xf numFmtId="0" fontId="18" fillId="3" borderId="52" xfId="1" applyFont="1" applyFill="1" applyBorder="1" applyAlignment="1">
      <alignment horizontal="center" vertical="center"/>
    </xf>
    <xf numFmtId="0" fontId="18" fillId="3" borderId="54" xfId="1" applyFont="1" applyFill="1" applyBorder="1" applyAlignment="1">
      <alignment horizontal="center" vertical="center"/>
    </xf>
    <xf numFmtId="0" fontId="18" fillId="13" borderId="68" xfId="1" applyFont="1" applyFill="1" applyBorder="1" applyAlignment="1">
      <alignment horizontal="center" vertical="center"/>
    </xf>
    <xf numFmtId="0" fontId="19" fillId="7" borderId="50" xfId="1" applyFont="1" applyFill="1" applyBorder="1" applyAlignment="1">
      <alignment horizontal="center" vertical="center" wrapText="1"/>
    </xf>
    <xf numFmtId="0" fontId="18" fillId="3" borderId="51" xfId="1" applyFont="1" applyFill="1" applyBorder="1" applyAlignment="1">
      <alignment horizontal="center" vertical="center" wrapText="1"/>
    </xf>
    <xf numFmtId="0" fontId="19" fillId="10" borderId="49" xfId="1" applyFont="1" applyFill="1" applyBorder="1" applyAlignment="1">
      <alignment horizontal="center" vertical="center" wrapText="1"/>
    </xf>
    <xf numFmtId="0" fontId="18" fillId="3" borderId="51" xfId="1" applyFont="1" applyFill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18" fillId="4" borderId="51" xfId="1" applyFont="1" applyFill="1" applyBorder="1" applyAlignment="1">
      <alignment horizontal="center" vertical="center"/>
    </xf>
    <xf numFmtId="2" fontId="18" fillId="0" borderId="43" xfId="1" applyNumberFormat="1" applyFont="1" applyBorder="1" applyAlignment="1">
      <alignment horizontal="center" vertical="center" wrapText="1"/>
    </xf>
    <xf numFmtId="2" fontId="18" fillId="0" borderId="42" xfId="1" applyNumberFormat="1" applyFont="1" applyBorder="1" applyAlignment="1">
      <alignment horizontal="center" vertical="center"/>
    </xf>
    <xf numFmtId="2" fontId="18" fillId="0" borderId="43" xfId="1" applyNumberFormat="1" applyFont="1" applyBorder="1" applyAlignment="1">
      <alignment horizontal="center" vertical="center"/>
    </xf>
    <xf numFmtId="2" fontId="18" fillId="0" borderId="24" xfId="1" applyNumberFormat="1" applyFont="1" applyBorder="1" applyAlignment="1">
      <alignment horizontal="center" vertical="center"/>
    </xf>
    <xf numFmtId="2" fontId="18" fillId="0" borderId="44" xfId="1" applyNumberFormat="1" applyFont="1" applyBorder="1" applyAlignment="1">
      <alignment horizontal="center" vertical="center"/>
    </xf>
    <xf numFmtId="2" fontId="18" fillId="0" borderId="42" xfId="1" applyNumberFormat="1" applyFont="1" applyBorder="1" applyAlignment="1">
      <alignment horizontal="center" vertical="center" wrapText="1"/>
    </xf>
    <xf numFmtId="2" fontId="18" fillId="0" borderId="56" xfId="1" applyNumberFormat="1" applyFont="1" applyBorder="1" applyAlignment="1">
      <alignment horizontal="center" vertical="center" wrapText="1"/>
    </xf>
    <xf numFmtId="2" fontId="18" fillId="0" borderId="44" xfId="1" applyNumberFormat="1" applyFont="1" applyBorder="1" applyAlignment="1">
      <alignment horizontal="center" vertical="center" wrapText="1"/>
    </xf>
    <xf numFmtId="0" fontId="18" fillId="14" borderId="54" xfId="1" applyFont="1" applyFill="1" applyBorder="1" applyAlignment="1">
      <alignment horizontal="center" vertical="center"/>
    </xf>
    <xf numFmtId="0" fontId="18" fillId="14" borderId="49" xfId="1" applyFont="1" applyFill="1" applyBorder="1" applyAlignment="1">
      <alignment horizontal="center" vertical="center"/>
    </xf>
    <xf numFmtId="0" fontId="18" fillId="16" borderId="7" xfId="1" applyFont="1" applyFill="1" applyBorder="1" applyAlignment="1">
      <alignment horizontal="center" vertical="center"/>
    </xf>
    <xf numFmtId="0" fontId="18" fillId="16" borderId="9" xfId="1" applyFont="1" applyFill="1" applyBorder="1" applyAlignment="1">
      <alignment horizontal="center" vertical="center"/>
    </xf>
    <xf numFmtId="0" fontId="18" fillId="0" borderId="42" xfId="1" applyFont="1" applyBorder="1" applyAlignment="1">
      <alignment horizontal="center" vertical="center"/>
    </xf>
    <xf numFmtId="0" fontId="18" fillId="0" borderId="43" xfId="1" applyFont="1" applyBorder="1" applyAlignment="1">
      <alignment horizontal="center" vertical="center"/>
    </xf>
    <xf numFmtId="166" fontId="18" fillId="15" borderId="56" xfId="1" applyNumberFormat="1" applyFont="1" applyFill="1" applyBorder="1" applyAlignment="1">
      <alignment horizontal="center" vertical="center"/>
    </xf>
    <xf numFmtId="0" fontId="18" fillId="0" borderId="50" xfId="1" applyFont="1" applyBorder="1" applyAlignment="1">
      <alignment horizontal="center" vertical="center"/>
    </xf>
    <xf numFmtId="2" fontId="18" fillId="15" borderId="42" xfId="1" applyNumberFormat="1" applyFont="1" applyFill="1" applyBorder="1" applyAlignment="1">
      <alignment horizontal="center" vertical="center"/>
    </xf>
    <xf numFmtId="166" fontId="19" fillId="0" borderId="56" xfId="1" applyNumberFormat="1" applyFont="1" applyBorder="1" applyAlignment="1">
      <alignment horizontal="center" vertical="center"/>
    </xf>
    <xf numFmtId="0" fontId="19" fillId="15" borderId="44" xfId="1" applyFont="1" applyFill="1" applyBorder="1" applyAlignment="1">
      <alignment horizontal="center" vertical="center"/>
    </xf>
    <xf numFmtId="16" fontId="24" fillId="0" borderId="10" xfId="1" applyNumberFormat="1" applyFont="1" applyBorder="1"/>
    <xf numFmtId="0" fontId="24" fillId="0" borderId="33" xfId="1" applyFont="1" applyBorder="1" applyAlignment="1">
      <alignment horizontal="center" vertical="center"/>
    </xf>
    <xf numFmtId="0" fontId="18" fillId="0" borderId="16" xfId="1" applyFont="1" applyBorder="1" applyAlignment="1">
      <alignment horizontal="center" vertical="center" wrapText="1"/>
    </xf>
    <xf numFmtId="0" fontId="18" fillId="0" borderId="72" xfId="1" applyFont="1" applyBorder="1" applyAlignment="1">
      <alignment horizontal="center" vertical="center" wrapText="1"/>
    </xf>
    <xf numFmtId="0" fontId="18" fillId="0" borderId="32" xfId="1" applyFont="1" applyBorder="1" applyAlignment="1">
      <alignment horizontal="center" vertical="center"/>
    </xf>
    <xf numFmtId="0" fontId="18" fillId="0" borderId="11" xfId="1" applyFont="1" applyBorder="1" applyAlignment="1">
      <alignment horizontal="center" vertical="center"/>
    </xf>
    <xf numFmtId="0" fontId="18" fillId="0" borderId="32" xfId="1" applyFont="1" applyBorder="1" applyAlignment="1">
      <alignment horizontal="center" vertical="center" wrapText="1"/>
    </xf>
    <xf numFmtId="0" fontId="18" fillId="0" borderId="33" xfId="1" applyFont="1" applyBorder="1" applyAlignment="1">
      <alignment horizontal="center" vertical="center"/>
    </xf>
    <xf numFmtId="0" fontId="18" fillId="4" borderId="67" xfId="1" applyFont="1" applyFill="1" applyBorder="1" applyAlignment="1">
      <alignment horizontal="center" vertical="center"/>
    </xf>
    <xf numFmtId="0" fontId="18" fillId="5" borderId="16" xfId="1" applyFont="1" applyFill="1" applyBorder="1" applyAlignment="1">
      <alignment horizontal="center" vertical="center" wrapText="1"/>
    </xf>
    <xf numFmtId="0" fontId="18" fillId="0" borderId="3" xfId="1" applyFont="1" applyBorder="1" applyAlignment="1">
      <alignment horizontal="center" vertical="center" wrapText="1"/>
    </xf>
    <xf numFmtId="2" fontId="18" fillId="0" borderId="32" xfId="1" applyNumberFormat="1" applyFont="1" applyBorder="1" applyAlignment="1">
      <alignment horizontal="center" vertical="center"/>
    </xf>
    <xf numFmtId="2" fontId="18" fillId="0" borderId="1" xfId="1" applyNumberFormat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 wrapText="1"/>
    </xf>
    <xf numFmtId="2" fontId="18" fillId="0" borderId="1" xfId="1" applyNumberFormat="1" applyFont="1" applyBorder="1" applyAlignment="1">
      <alignment horizontal="center" vertical="center" wrapText="1"/>
    </xf>
    <xf numFmtId="2" fontId="18" fillId="0" borderId="33" xfId="1" applyNumberFormat="1" applyFont="1" applyBorder="1" applyAlignment="1">
      <alignment horizontal="center" vertical="center" wrapText="1"/>
    </xf>
    <xf numFmtId="2" fontId="18" fillId="0" borderId="2" xfId="1" applyNumberFormat="1" applyFont="1" applyBorder="1" applyAlignment="1">
      <alignment horizontal="center" vertical="center" wrapText="1"/>
    </xf>
    <xf numFmtId="2" fontId="18" fillId="0" borderId="7" xfId="1" applyNumberFormat="1" applyFont="1" applyBorder="1" applyAlignment="1">
      <alignment horizontal="center" vertical="center"/>
    </xf>
    <xf numFmtId="2" fontId="18" fillId="0" borderId="9" xfId="1" applyNumberFormat="1" applyFont="1" applyBorder="1" applyAlignment="1">
      <alignment horizontal="center" vertical="center"/>
    </xf>
    <xf numFmtId="0" fontId="18" fillId="13" borderId="32" xfId="1" applyFont="1" applyFill="1" applyBorder="1" applyAlignment="1">
      <alignment horizontal="center" vertical="center"/>
    </xf>
    <xf numFmtId="0" fontId="18" fillId="6" borderId="41" xfId="1" applyFont="1" applyFill="1" applyBorder="1" applyAlignment="1">
      <alignment horizontal="center" vertical="center"/>
    </xf>
    <xf numFmtId="0" fontId="18" fillId="0" borderId="10" xfId="1" applyFont="1" applyBorder="1" applyAlignment="1">
      <alignment horizontal="center" vertical="center"/>
    </xf>
    <xf numFmtId="0" fontId="18" fillId="3" borderId="61" xfId="1" applyFont="1" applyFill="1" applyBorder="1" applyAlignment="1">
      <alignment horizontal="center" vertical="center"/>
    </xf>
    <xf numFmtId="0" fontId="18" fillId="3" borderId="11" xfId="1" applyFont="1" applyFill="1" applyBorder="1" applyAlignment="1">
      <alignment horizontal="center" vertical="center"/>
    </xf>
    <xf numFmtId="0" fontId="18" fillId="3" borderId="10" xfId="1" applyFont="1" applyFill="1" applyBorder="1" applyAlignment="1">
      <alignment horizontal="center" vertical="center"/>
    </xf>
    <xf numFmtId="0" fontId="18" fillId="0" borderId="29" xfId="1" applyFont="1" applyBorder="1" applyAlignment="1">
      <alignment horizontal="center" vertical="center"/>
    </xf>
    <xf numFmtId="0" fontId="18" fillId="0" borderId="28" xfId="1" applyFont="1" applyBorder="1" applyAlignment="1">
      <alignment horizontal="center" vertical="center"/>
    </xf>
    <xf numFmtId="0" fontId="18" fillId="13" borderId="16" xfId="1" applyFont="1" applyFill="1" applyBorder="1" applyAlignment="1">
      <alignment horizontal="center" vertical="center"/>
    </xf>
    <xf numFmtId="0" fontId="19" fillId="7" borderId="3" xfId="1" applyFont="1" applyFill="1" applyBorder="1" applyAlignment="1">
      <alignment horizontal="center" vertical="center" wrapText="1"/>
    </xf>
    <xf numFmtId="0" fontId="18" fillId="3" borderId="32" xfId="1" applyFont="1" applyFill="1" applyBorder="1" applyAlignment="1">
      <alignment horizontal="center" vertical="center" wrapText="1"/>
    </xf>
    <xf numFmtId="0" fontId="19" fillId="10" borderId="33" xfId="1" applyFont="1" applyFill="1" applyBorder="1" applyAlignment="1">
      <alignment horizontal="center" vertical="center" wrapText="1"/>
    </xf>
    <xf numFmtId="0" fontId="18" fillId="4" borderId="32" xfId="1" applyFont="1" applyFill="1" applyBorder="1" applyAlignment="1">
      <alignment horizontal="center" vertical="center"/>
    </xf>
    <xf numFmtId="2" fontId="18" fillId="0" borderId="0" xfId="1" applyNumberFormat="1" applyFont="1" applyAlignment="1">
      <alignment horizontal="center" vertical="center" wrapText="1"/>
    </xf>
    <xf numFmtId="2" fontId="18" fillId="0" borderId="39" xfId="1" applyNumberFormat="1" applyFont="1" applyBorder="1" applyAlignment="1">
      <alignment horizontal="center" vertical="center"/>
    </xf>
    <xf numFmtId="2" fontId="18" fillId="0" borderId="0" xfId="1" applyNumberFormat="1" applyFont="1" applyAlignment="1">
      <alignment horizontal="center" vertical="center"/>
    </xf>
    <xf numFmtId="2" fontId="18" fillId="0" borderId="31" xfId="1" applyNumberFormat="1" applyFont="1" applyBorder="1" applyAlignment="1">
      <alignment horizontal="center" vertical="center"/>
    </xf>
    <xf numFmtId="2" fontId="18" fillId="0" borderId="45" xfId="1" applyNumberFormat="1" applyFont="1" applyBorder="1" applyAlignment="1">
      <alignment horizontal="center" vertical="center"/>
    </xf>
    <xf numFmtId="2" fontId="18" fillId="0" borderId="39" xfId="1" applyNumberFormat="1" applyFont="1" applyBorder="1" applyAlignment="1">
      <alignment horizontal="center" vertical="center" wrapText="1"/>
    </xf>
    <xf numFmtId="2" fontId="18" fillId="0" borderId="57" xfId="1" applyNumberFormat="1" applyFont="1" applyBorder="1" applyAlignment="1">
      <alignment horizontal="center" vertical="center" wrapText="1"/>
    </xf>
    <xf numFmtId="2" fontId="18" fillId="0" borderId="45" xfId="1" applyNumberFormat="1" applyFont="1" applyBorder="1" applyAlignment="1">
      <alignment horizontal="center" vertical="center" wrapText="1"/>
    </xf>
    <xf numFmtId="0" fontId="18" fillId="14" borderId="10" xfId="1" applyFont="1" applyFill="1" applyBorder="1" applyAlignment="1">
      <alignment horizontal="center" vertical="center"/>
    </xf>
    <xf numFmtId="0" fontId="18" fillId="14" borderId="33" xfId="1" applyFont="1" applyFill="1" applyBorder="1" applyAlignment="1">
      <alignment horizontal="center" vertical="center"/>
    </xf>
    <xf numFmtId="0" fontId="18" fillId="16" borderId="10" xfId="1" applyFont="1" applyFill="1" applyBorder="1" applyAlignment="1">
      <alignment horizontal="center" vertical="center"/>
    </xf>
    <xf numFmtId="0" fontId="18" fillId="16" borderId="11" xfId="1" applyFont="1" applyFill="1" applyBorder="1" applyAlignment="1">
      <alignment horizontal="center" vertical="center"/>
    </xf>
    <xf numFmtId="166" fontId="18" fillId="15" borderId="57" xfId="1" applyNumberFormat="1" applyFont="1" applyFill="1" applyBorder="1" applyAlignment="1">
      <alignment horizontal="center" vertical="center"/>
    </xf>
    <xf numFmtId="0" fontId="18" fillId="0" borderId="3" xfId="1" applyFont="1" applyBorder="1" applyAlignment="1">
      <alignment horizontal="center" vertical="center"/>
    </xf>
    <xf numFmtId="2" fontId="18" fillId="15" borderId="39" xfId="1" applyNumberFormat="1" applyFont="1" applyFill="1" applyBorder="1" applyAlignment="1">
      <alignment horizontal="center" vertical="center"/>
    </xf>
    <xf numFmtId="166" fontId="19" fillId="0" borderId="57" xfId="1" applyNumberFormat="1" applyFont="1" applyBorder="1" applyAlignment="1">
      <alignment horizontal="center" vertical="center"/>
    </xf>
    <xf numFmtId="0" fontId="19" fillId="15" borderId="45" xfId="1" applyFont="1" applyFill="1" applyBorder="1" applyAlignment="1">
      <alignment horizontal="center" vertical="center"/>
    </xf>
    <xf numFmtId="16" fontId="24" fillId="0" borderId="53" xfId="1" applyNumberFormat="1" applyFont="1" applyBorder="1"/>
    <xf numFmtId="16" fontId="24" fillId="0" borderId="71" xfId="1" applyNumberFormat="1" applyFont="1" applyBorder="1" applyAlignment="1">
      <alignment horizontal="center" vertical="center"/>
    </xf>
    <xf numFmtId="0" fontId="18" fillId="0" borderId="73" xfId="1" applyFont="1" applyBorder="1" applyAlignment="1">
      <alignment horizontal="center" vertical="center"/>
    </xf>
    <xf numFmtId="0" fontId="18" fillId="0" borderId="59" xfId="1" applyFont="1" applyBorder="1" applyAlignment="1">
      <alignment horizontal="center" vertical="center"/>
    </xf>
    <xf numFmtId="0" fontId="18" fillId="0" borderId="18" xfId="1" applyFont="1" applyBorder="1" applyAlignment="1">
      <alignment horizontal="center" vertical="center"/>
    </xf>
    <xf numFmtId="0" fontId="18" fillId="0" borderId="19" xfId="1" applyFont="1" applyBorder="1" applyAlignment="1">
      <alignment horizontal="center" vertical="center"/>
    </xf>
    <xf numFmtId="0" fontId="18" fillId="0" borderId="55" xfId="1" applyFont="1" applyBorder="1" applyAlignment="1">
      <alignment horizontal="center" vertical="center"/>
    </xf>
    <xf numFmtId="0" fontId="18" fillId="4" borderId="58" xfId="1" applyFont="1" applyFill="1" applyBorder="1" applyAlignment="1">
      <alignment horizontal="center" vertical="center"/>
    </xf>
    <xf numFmtId="0" fontId="18" fillId="5" borderId="58" xfId="1" applyFont="1" applyFill="1" applyBorder="1" applyAlignment="1">
      <alignment horizontal="center" vertical="center"/>
    </xf>
    <xf numFmtId="0" fontId="18" fillId="0" borderId="40" xfId="1" applyFont="1" applyBorder="1" applyAlignment="1">
      <alignment horizontal="center" vertical="center"/>
    </xf>
    <xf numFmtId="2" fontId="18" fillId="0" borderId="59" xfId="1" applyNumberFormat="1" applyFont="1" applyBorder="1" applyAlignment="1">
      <alignment horizontal="center" vertical="center"/>
    </xf>
    <xf numFmtId="2" fontId="18" fillId="0" borderId="18" xfId="1" applyNumberFormat="1" applyFont="1" applyBorder="1" applyAlignment="1">
      <alignment horizontal="center" vertical="center"/>
    </xf>
    <xf numFmtId="0" fontId="18" fillId="0" borderId="65" xfId="1" applyFont="1" applyBorder="1" applyAlignment="1">
      <alignment horizontal="center" vertical="center"/>
    </xf>
    <xf numFmtId="0" fontId="18" fillId="0" borderId="21" xfId="1" applyFont="1" applyBorder="1" applyAlignment="1">
      <alignment horizontal="center" vertical="center"/>
    </xf>
    <xf numFmtId="0" fontId="18" fillId="0" borderId="64" xfId="1" applyFont="1" applyBorder="1" applyAlignment="1">
      <alignment horizontal="center" vertical="center"/>
    </xf>
    <xf numFmtId="0" fontId="18" fillId="0" borderId="18" xfId="1" applyFont="1" applyBorder="1" applyAlignment="1">
      <alignment horizontal="center" vertical="center" wrapText="1"/>
    </xf>
    <xf numFmtId="2" fontId="18" fillId="0" borderId="18" xfId="1" applyNumberFormat="1" applyFont="1" applyBorder="1" applyAlignment="1">
      <alignment horizontal="center" vertical="center" wrapText="1"/>
    </xf>
    <xf numFmtId="2" fontId="18" fillId="0" borderId="55" xfId="1" applyNumberFormat="1" applyFont="1" applyBorder="1" applyAlignment="1">
      <alignment horizontal="center" vertical="center" wrapText="1"/>
    </xf>
    <xf numFmtId="2" fontId="18" fillId="0" borderId="40" xfId="1" applyNumberFormat="1" applyFont="1" applyBorder="1" applyAlignment="1">
      <alignment horizontal="center" vertical="center"/>
    </xf>
    <xf numFmtId="2" fontId="18" fillId="0" borderId="53" xfId="1" applyNumberFormat="1" applyFont="1" applyBorder="1" applyAlignment="1">
      <alignment horizontal="center" vertical="center"/>
    </xf>
    <xf numFmtId="2" fontId="18" fillId="0" borderId="64" xfId="1" applyNumberFormat="1" applyFont="1" applyBorder="1" applyAlignment="1">
      <alignment horizontal="center" vertical="center"/>
    </xf>
    <xf numFmtId="0" fontId="18" fillId="13" borderId="40" xfId="1" applyFont="1" applyFill="1" applyBorder="1" applyAlignment="1">
      <alignment horizontal="center" vertical="center"/>
    </xf>
    <xf numFmtId="0" fontId="18" fillId="6" borderId="46" xfId="1" applyFont="1" applyFill="1" applyBorder="1" applyAlignment="1">
      <alignment horizontal="center" vertical="center"/>
    </xf>
    <xf numFmtId="164" fontId="18" fillId="3" borderId="65" xfId="1" applyNumberFormat="1" applyFont="1" applyFill="1" applyBorder="1" applyAlignment="1">
      <alignment horizontal="center" vertical="center"/>
    </xf>
    <xf numFmtId="164" fontId="18" fillId="3" borderId="21" xfId="1" applyNumberFormat="1" applyFont="1" applyFill="1" applyBorder="1" applyAlignment="1">
      <alignment horizontal="center" vertical="center"/>
    </xf>
    <xf numFmtId="0" fontId="18" fillId="3" borderId="21" xfId="1" applyFont="1" applyFill="1" applyBorder="1" applyAlignment="1">
      <alignment horizontal="center" vertical="center"/>
    </xf>
    <xf numFmtId="0" fontId="18" fillId="3" borderId="71" xfId="1" applyFont="1" applyFill="1" applyBorder="1" applyAlignment="1">
      <alignment horizontal="center" vertical="center"/>
    </xf>
    <xf numFmtId="0" fontId="18" fillId="0" borderId="53" xfId="1" applyFont="1" applyBorder="1" applyAlignment="1">
      <alignment horizontal="center" vertical="center"/>
    </xf>
    <xf numFmtId="0" fontId="18" fillId="3" borderId="46" xfId="1" applyFont="1" applyFill="1" applyBorder="1" applyAlignment="1">
      <alignment horizontal="center" vertical="center"/>
    </xf>
    <xf numFmtId="0" fontId="18" fillId="3" borderId="64" xfId="1" applyFont="1" applyFill="1" applyBorder="1" applyAlignment="1">
      <alignment horizontal="center" vertical="center"/>
    </xf>
    <xf numFmtId="0" fontId="18" fillId="3" borderId="53" xfId="1" applyFont="1" applyFill="1" applyBorder="1" applyAlignment="1">
      <alignment horizontal="center" vertical="center"/>
    </xf>
    <xf numFmtId="0" fontId="18" fillId="0" borderId="71" xfId="1" applyFont="1" applyBorder="1" applyAlignment="1">
      <alignment horizontal="center" vertical="center"/>
    </xf>
    <xf numFmtId="0" fontId="18" fillId="13" borderId="58" xfId="1" applyFont="1" applyFill="1" applyBorder="1" applyAlignment="1">
      <alignment horizontal="center" vertical="center"/>
    </xf>
    <xf numFmtId="0" fontId="18" fillId="7" borderId="40" xfId="1" applyFont="1" applyFill="1" applyBorder="1" applyAlignment="1">
      <alignment horizontal="center" vertical="center"/>
    </xf>
    <xf numFmtId="0" fontId="18" fillId="0" borderId="70" xfId="1" applyFont="1" applyBorder="1" applyAlignment="1">
      <alignment horizontal="center" vertical="center" wrapText="1"/>
    </xf>
    <xf numFmtId="0" fontId="18" fillId="3" borderId="65" xfId="1" applyFont="1" applyFill="1" applyBorder="1" applyAlignment="1">
      <alignment horizontal="center" vertical="center"/>
    </xf>
    <xf numFmtId="0" fontId="18" fillId="0" borderId="17" xfId="1" applyFont="1" applyBorder="1" applyAlignment="1">
      <alignment horizontal="center" vertical="center"/>
    </xf>
    <xf numFmtId="0" fontId="18" fillId="10" borderId="46" xfId="1" applyFont="1" applyFill="1" applyBorder="1" applyAlignment="1">
      <alignment horizontal="center" vertical="center"/>
    </xf>
    <xf numFmtId="0" fontId="18" fillId="4" borderId="40" xfId="1" applyFont="1" applyFill="1" applyBorder="1" applyAlignment="1">
      <alignment horizontal="center" vertical="center"/>
    </xf>
    <xf numFmtId="2" fontId="18" fillId="0" borderId="46" xfId="1" applyNumberFormat="1" applyFont="1" applyBorder="1" applyAlignment="1">
      <alignment horizontal="center" vertical="center"/>
    </xf>
    <xf numFmtId="2" fontId="18" fillId="0" borderId="65" xfId="1" applyNumberFormat="1" applyFont="1" applyBorder="1" applyAlignment="1">
      <alignment horizontal="center" vertical="center"/>
    </xf>
    <xf numFmtId="2" fontId="18" fillId="0" borderId="47" xfId="1" applyNumberFormat="1" applyFont="1" applyBorder="1" applyAlignment="1">
      <alignment horizontal="center" vertical="center"/>
    </xf>
    <xf numFmtId="2" fontId="18" fillId="0" borderId="46" xfId="1" applyNumberFormat="1" applyFont="1" applyBorder="1" applyAlignment="1">
      <alignment horizontal="center" vertical="center" wrapText="1"/>
    </xf>
    <xf numFmtId="2" fontId="18" fillId="0" borderId="58" xfId="1" applyNumberFormat="1" applyFont="1" applyBorder="1" applyAlignment="1">
      <alignment horizontal="center" vertical="center" wrapText="1"/>
    </xf>
    <xf numFmtId="2" fontId="18" fillId="0" borderId="40" xfId="1" applyNumberFormat="1" applyFont="1" applyBorder="1" applyAlignment="1">
      <alignment horizontal="center" vertical="center" wrapText="1"/>
    </xf>
    <xf numFmtId="2" fontId="18" fillId="0" borderId="47" xfId="1" applyNumberFormat="1" applyFont="1" applyBorder="1" applyAlignment="1">
      <alignment horizontal="center" vertical="center" wrapText="1"/>
    </xf>
    <xf numFmtId="0" fontId="18" fillId="14" borderId="17" xfId="1" applyFont="1" applyFill="1" applyBorder="1" applyAlignment="1">
      <alignment horizontal="center" vertical="center"/>
    </xf>
    <xf numFmtId="0" fontId="18" fillId="14" borderId="55" xfId="1" applyFont="1" applyFill="1" applyBorder="1" applyAlignment="1">
      <alignment horizontal="center" vertical="center"/>
    </xf>
    <xf numFmtId="0" fontId="18" fillId="16" borderId="17" xfId="1" applyFont="1" applyFill="1" applyBorder="1" applyAlignment="1">
      <alignment horizontal="center" vertical="center"/>
    </xf>
    <xf numFmtId="0" fontId="18" fillId="16" borderId="19" xfId="1" applyFont="1" applyFill="1" applyBorder="1" applyAlignment="1">
      <alignment horizontal="center" vertical="center"/>
    </xf>
    <xf numFmtId="0" fontId="18" fillId="0" borderId="46" xfId="1" applyFont="1" applyBorder="1" applyAlignment="1">
      <alignment horizontal="center" vertical="center"/>
    </xf>
    <xf numFmtId="166" fontId="18" fillId="15" borderId="58" xfId="1" applyNumberFormat="1" applyFont="1" applyFill="1" applyBorder="1" applyAlignment="1">
      <alignment horizontal="center" vertical="center"/>
    </xf>
    <xf numFmtId="2" fontId="18" fillId="15" borderId="46" xfId="1" applyNumberFormat="1" applyFont="1" applyFill="1" applyBorder="1" applyAlignment="1">
      <alignment horizontal="center" vertical="center"/>
    </xf>
    <xf numFmtId="166" fontId="19" fillId="0" borderId="58" xfId="1" applyNumberFormat="1" applyFont="1" applyBorder="1" applyAlignment="1">
      <alignment horizontal="center" vertical="center"/>
    </xf>
    <xf numFmtId="0" fontId="18" fillId="15" borderId="47" xfId="1" applyFont="1" applyFill="1" applyBorder="1" applyAlignment="1">
      <alignment horizontal="center" vertical="center"/>
    </xf>
    <xf numFmtId="16" fontId="26" fillId="0" borderId="7" xfId="1" applyNumberFormat="1" applyFont="1" applyBorder="1"/>
    <xf numFmtId="0" fontId="26" fillId="0" borderId="9" xfId="1" applyFont="1" applyBorder="1" applyAlignment="1">
      <alignment horizontal="center" vertical="center"/>
    </xf>
    <xf numFmtId="0" fontId="27" fillId="0" borderId="67" xfId="1" applyFont="1" applyBorder="1" applyAlignment="1">
      <alignment horizontal="center" vertical="center"/>
    </xf>
    <xf numFmtId="0" fontId="18" fillId="0" borderId="74" xfId="1" applyFont="1" applyBorder="1" applyAlignment="1">
      <alignment horizontal="center" vertical="center"/>
    </xf>
    <xf numFmtId="0" fontId="18" fillId="0" borderId="7" xfId="1" applyFont="1" applyBorder="1" applyAlignment="1">
      <alignment horizontal="center" vertical="center"/>
    </xf>
    <xf numFmtId="0" fontId="18" fillId="0" borderId="8" xfId="1" applyFont="1" applyBorder="1" applyAlignment="1">
      <alignment horizontal="center" vertical="center"/>
    </xf>
    <xf numFmtId="0" fontId="18" fillId="0" borderId="9" xfId="1" applyFont="1" applyBorder="1" applyAlignment="1">
      <alignment horizontal="center" vertical="center"/>
    </xf>
    <xf numFmtId="0" fontId="18" fillId="0" borderId="67" xfId="1" applyFont="1" applyBorder="1" applyAlignment="1">
      <alignment horizontal="center" vertical="center"/>
    </xf>
    <xf numFmtId="2" fontId="18" fillId="0" borderId="29" xfId="1" applyNumberFormat="1" applyFont="1" applyBorder="1" applyAlignment="1">
      <alignment horizontal="center" vertical="center"/>
    </xf>
    <xf numFmtId="2" fontId="18" fillId="0" borderId="8" xfId="1" applyNumberFormat="1" applyFont="1" applyBorder="1" applyAlignment="1">
      <alignment horizontal="center" vertical="center"/>
    </xf>
    <xf numFmtId="0" fontId="18" fillId="0" borderId="8" xfId="1" applyFont="1" applyBorder="1" applyAlignment="1">
      <alignment horizontal="center" vertical="center" wrapText="1"/>
    </xf>
    <xf numFmtId="2" fontId="29" fillId="14" borderId="16" xfId="2" applyNumberFormat="1" applyFont="1" applyFill="1" applyBorder="1" applyAlignment="1">
      <alignment horizontal="center"/>
    </xf>
    <xf numFmtId="2" fontId="18" fillId="0" borderId="67" xfId="1" applyNumberFormat="1" applyFont="1" applyBorder="1" applyAlignment="1">
      <alignment horizontal="center" vertical="center"/>
    </xf>
    <xf numFmtId="0" fontId="18" fillId="13" borderId="2" xfId="1" applyFont="1" applyFill="1" applyBorder="1" applyAlignment="1">
      <alignment horizontal="center" vertical="center"/>
    </xf>
    <xf numFmtId="164" fontId="18" fillId="3" borderId="29" xfId="1" applyNumberFormat="1" applyFont="1" applyFill="1" applyBorder="1" applyAlignment="1">
      <alignment horizontal="center" vertical="center"/>
    </xf>
    <xf numFmtId="164" fontId="18" fillId="3" borderId="28" xfId="1" applyNumberFormat="1" applyFont="1" applyFill="1" applyBorder="1" applyAlignment="1">
      <alignment horizontal="center" vertical="center"/>
    </xf>
    <xf numFmtId="0" fontId="18" fillId="3" borderId="41" xfId="1" applyFont="1" applyFill="1" applyBorder="1" applyAlignment="1">
      <alignment horizontal="center" vertical="center"/>
    </xf>
    <xf numFmtId="0" fontId="18" fillId="3" borderId="9" xfId="1" applyFont="1" applyFill="1" applyBorder="1" applyAlignment="1">
      <alignment horizontal="center" vertical="center"/>
    </xf>
    <xf numFmtId="0" fontId="18" fillId="13" borderId="67" xfId="1" applyFont="1" applyFill="1" applyBorder="1" applyAlignment="1">
      <alignment horizontal="center" vertical="center"/>
    </xf>
    <xf numFmtId="0" fontId="18" fillId="7" borderId="2" xfId="1" applyFont="1" applyFill="1" applyBorder="1" applyAlignment="1">
      <alignment horizontal="center" vertical="center"/>
    </xf>
    <xf numFmtId="0" fontId="18" fillId="0" borderId="67" xfId="1" applyFont="1" applyBorder="1" applyAlignment="1">
      <alignment horizontal="center" vertical="center" wrapText="1"/>
    </xf>
    <xf numFmtId="0" fontId="18" fillId="10" borderId="41" xfId="1" applyFont="1" applyFill="1" applyBorder="1" applyAlignment="1">
      <alignment horizontal="center" vertical="center"/>
    </xf>
    <xf numFmtId="0" fontId="18" fillId="0" borderId="2" xfId="1" applyFont="1" applyBorder="1" applyAlignment="1">
      <alignment horizontal="center" vertical="center"/>
    </xf>
    <xf numFmtId="0" fontId="18" fillId="4" borderId="0" xfId="1" applyFont="1" applyFill="1" applyAlignment="1">
      <alignment horizontal="center" vertical="center"/>
    </xf>
    <xf numFmtId="0" fontId="18" fillId="14" borderId="7" xfId="1" applyFont="1" applyFill="1" applyBorder="1" applyAlignment="1">
      <alignment horizontal="center" vertical="center"/>
    </xf>
    <xf numFmtId="0" fontId="18" fillId="14" borderId="28" xfId="1" applyFont="1" applyFill="1" applyBorder="1" applyAlignment="1">
      <alignment horizontal="center" vertical="center"/>
    </xf>
    <xf numFmtId="166" fontId="18" fillId="14" borderId="57" xfId="1" applyNumberFormat="1" applyFont="1" applyFill="1" applyBorder="1" applyAlignment="1">
      <alignment horizontal="center" vertical="center"/>
    </xf>
    <xf numFmtId="166" fontId="18" fillId="14" borderId="56" xfId="1" applyNumberFormat="1" applyFont="1" applyFill="1" applyBorder="1" applyAlignment="1">
      <alignment horizontal="center" vertical="center"/>
    </xf>
    <xf numFmtId="166" fontId="19" fillId="14" borderId="39" xfId="1" applyNumberFormat="1" applyFont="1" applyFill="1" applyBorder="1" applyAlignment="1">
      <alignment horizontal="center" vertical="center"/>
    </xf>
    <xf numFmtId="0" fontId="19" fillId="14" borderId="45" xfId="1" applyFont="1" applyFill="1" applyBorder="1" applyAlignment="1">
      <alignment horizontal="center" vertical="center"/>
    </xf>
    <xf numFmtId="16" fontId="26" fillId="9" borderId="7" xfId="1" applyNumberFormat="1" applyFont="1" applyFill="1" applyBorder="1"/>
    <xf numFmtId="0" fontId="26" fillId="9" borderId="11" xfId="1" applyFont="1" applyFill="1" applyBorder="1" applyAlignment="1">
      <alignment horizontal="center" vertical="center"/>
    </xf>
    <xf numFmtId="0" fontId="18" fillId="9" borderId="2" xfId="1" applyFont="1" applyFill="1" applyBorder="1" applyAlignment="1">
      <alignment horizontal="center" vertical="center"/>
    </xf>
    <xf numFmtId="0" fontId="27" fillId="9" borderId="67" xfId="1" applyFont="1" applyFill="1" applyBorder="1" applyAlignment="1">
      <alignment horizontal="center" vertical="center"/>
    </xf>
    <xf numFmtId="0" fontId="18" fillId="9" borderId="72" xfId="1" applyFont="1" applyFill="1" applyBorder="1" applyAlignment="1">
      <alignment horizontal="center" vertical="center"/>
    </xf>
    <xf numFmtId="0" fontId="18" fillId="9" borderId="10" xfId="1" applyFont="1" applyFill="1" applyBorder="1" applyAlignment="1">
      <alignment horizontal="center" vertical="center"/>
    </xf>
    <xf numFmtId="0" fontId="18" fillId="9" borderId="11" xfId="1" applyFont="1" applyFill="1" applyBorder="1" applyAlignment="1">
      <alignment horizontal="center" vertical="center"/>
    </xf>
    <xf numFmtId="0" fontId="18" fillId="9" borderId="16" xfId="1" applyFont="1" applyFill="1" applyBorder="1" applyAlignment="1">
      <alignment horizontal="center" vertical="center"/>
    </xf>
    <xf numFmtId="0" fontId="18" fillId="9" borderId="67" xfId="1" applyFont="1" applyFill="1" applyBorder="1" applyAlignment="1">
      <alignment horizontal="center" vertical="center"/>
    </xf>
    <xf numFmtId="0" fontId="27" fillId="9" borderId="2" xfId="1" applyFont="1" applyFill="1" applyBorder="1" applyAlignment="1">
      <alignment horizontal="center" vertical="center"/>
    </xf>
    <xf numFmtId="2" fontId="18" fillId="9" borderId="32" xfId="1" applyNumberFormat="1" applyFont="1" applyFill="1" applyBorder="1" applyAlignment="1">
      <alignment horizontal="center" vertical="center"/>
    </xf>
    <xf numFmtId="0" fontId="18" fillId="9" borderId="7" xfId="1" applyFont="1" applyFill="1" applyBorder="1" applyAlignment="1">
      <alignment horizontal="center" vertical="center"/>
    </xf>
    <xf numFmtId="0" fontId="18" fillId="9" borderId="8" xfId="1" applyFont="1" applyFill="1" applyBorder="1" applyAlignment="1">
      <alignment horizontal="center" vertical="center"/>
    </xf>
    <xf numFmtId="0" fontId="18" fillId="9" borderId="9" xfId="1" applyFont="1" applyFill="1" applyBorder="1" applyAlignment="1">
      <alignment horizontal="center" vertical="center"/>
    </xf>
    <xf numFmtId="0" fontId="18" fillId="9" borderId="1" xfId="1" applyFont="1" applyFill="1" applyBorder="1" applyAlignment="1">
      <alignment horizontal="center" vertical="center" wrapText="1"/>
    </xf>
    <xf numFmtId="2" fontId="18" fillId="9" borderId="1" xfId="1" applyNumberFormat="1" applyFont="1" applyFill="1" applyBorder="1" applyAlignment="1">
      <alignment horizontal="center" vertical="center" wrapText="1"/>
    </xf>
    <xf numFmtId="2" fontId="18" fillId="9" borderId="67" xfId="1" applyNumberFormat="1" applyFont="1" applyFill="1" applyBorder="1" applyAlignment="1">
      <alignment horizontal="center" vertical="center"/>
    </xf>
    <xf numFmtId="2" fontId="18" fillId="9" borderId="7" xfId="1" applyNumberFormat="1" applyFont="1" applyFill="1" applyBorder="1" applyAlignment="1">
      <alignment horizontal="center" vertical="center"/>
    </xf>
    <xf numFmtId="2" fontId="18" fillId="9" borderId="9" xfId="1" applyNumberFormat="1" applyFont="1" applyFill="1" applyBorder="1" applyAlignment="1">
      <alignment horizontal="center" vertical="center"/>
    </xf>
    <xf numFmtId="0" fontId="18" fillId="9" borderId="41" xfId="1" applyFont="1" applyFill="1" applyBorder="1" applyAlignment="1">
      <alignment horizontal="center" vertical="center"/>
    </xf>
    <xf numFmtId="164" fontId="5" fillId="17" borderId="16" xfId="2" applyNumberFormat="1" applyFont="1" applyFill="1" applyBorder="1" applyAlignment="1">
      <alignment horizontal="center"/>
    </xf>
    <xf numFmtId="2" fontId="29" fillId="9" borderId="16" xfId="2" applyNumberFormat="1" applyFont="1" applyFill="1" applyBorder="1" applyAlignment="1">
      <alignment horizontal="center"/>
    </xf>
    <xf numFmtId="0" fontId="18" fillId="9" borderId="29" xfId="1" applyFont="1" applyFill="1" applyBorder="1" applyAlignment="1">
      <alignment horizontal="center" vertical="center"/>
    </xf>
    <xf numFmtId="0" fontId="18" fillId="9" borderId="16" xfId="1" applyFont="1" applyFill="1" applyBorder="1" applyAlignment="1">
      <alignment horizontal="center" vertical="center" wrapText="1"/>
    </xf>
    <xf numFmtId="0" fontId="4" fillId="9" borderId="8" xfId="2" applyFont="1" applyFill="1" applyBorder="1" applyAlignment="1">
      <alignment horizontal="center"/>
    </xf>
    <xf numFmtId="0" fontId="4" fillId="9" borderId="1" xfId="2" applyFont="1" applyFill="1" applyBorder="1" applyAlignment="1">
      <alignment horizontal="center"/>
    </xf>
    <xf numFmtId="0" fontId="18" fillId="9" borderId="61" xfId="1" applyFont="1" applyFill="1" applyBorder="1" applyAlignment="1">
      <alignment horizontal="center" vertical="center"/>
    </xf>
    <xf numFmtId="0" fontId="18" fillId="9" borderId="0" xfId="1" applyFont="1" applyFill="1" applyAlignment="1">
      <alignment horizontal="center" vertical="center"/>
    </xf>
    <xf numFmtId="0" fontId="18" fillId="9" borderId="39" xfId="1" applyFont="1" applyFill="1" applyBorder="1" applyAlignment="1">
      <alignment horizontal="center" vertical="center"/>
    </xf>
    <xf numFmtId="0" fontId="18" fillId="9" borderId="31" xfId="1" applyFont="1" applyFill="1" applyBorder="1" applyAlignment="1">
      <alignment horizontal="center" vertical="center"/>
    </xf>
    <xf numFmtId="2" fontId="18" fillId="9" borderId="45" xfId="1" applyNumberFormat="1" applyFont="1" applyFill="1" applyBorder="1" applyAlignment="1">
      <alignment horizontal="center" vertical="center"/>
    </xf>
    <xf numFmtId="0" fontId="18" fillId="9" borderId="39" xfId="1" applyFont="1" applyFill="1" applyBorder="1" applyAlignment="1">
      <alignment horizontal="center" vertical="center" wrapText="1"/>
    </xf>
    <xf numFmtId="2" fontId="18" fillId="9" borderId="57" xfId="1" applyNumberFormat="1" applyFont="1" applyFill="1" applyBorder="1" applyAlignment="1">
      <alignment horizontal="center" vertical="center" wrapText="1"/>
    </xf>
    <xf numFmtId="2" fontId="18" fillId="9" borderId="0" xfId="1" applyNumberFormat="1" applyFont="1" applyFill="1" applyAlignment="1">
      <alignment horizontal="center" vertical="center"/>
    </xf>
    <xf numFmtId="2" fontId="18" fillId="9" borderId="39" xfId="1" applyNumberFormat="1" applyFont="1" applyFill="1" applyBorder="1" applyAlignment="1">
      <alignment horizontal="center" vertical="center" wrapText="1"/>
    </xf>
    <xf numFmtId="2" fontId="18" fillId="9" borderId="0" xfId="1" applyNumberFormat="1" applyFont="1" applyFill="1" applyAlignment="1">
      <alignment horizontal="center" vertical="center" wrapText="1"/>
    </xf>
    <xf numFmtId="2" fontId="18" fillId="9" borderId="45" xfId="1" applyNumberFormat="1" applyFont="1" applyFill="1" applyBorder="1" applyAlignment="1">
      <alignment horizontal="center" vertical="center" wrapText="1"/>
    </xf>
    <xf numFmtId="2" fontId="18" fillId="9" borderId="39" xfId="1" applyNumberFormat="1" applyFont="1" applyFill="1" applyBorder="1" applyAlignment="1">
      <alignment horizontal="center" vertical="center"/>
    </xf>
    <xf numFmtId="166" fontId="18" fillId="9" borderId="57" xfId="1" applyNumberFormat="1" applyFont="1" applyFill="1" applyBorder="1" applyAlignment="1">
      <alignment horizontal="center" vertical="center"/>
    </xf>
    <xf numFmtId="166" fontId="19" fillId="9" borderId="39" xfId="1" applyNumberFormat="1" applyFont="1" applyFill="1" applyBorder="1" applyAlignment="1">
      <alignment horizontal="center" vertical="center"/>
    </xf>
    <xf numFmtId="166" fontId="19" fillId="9" borderId="57" xfId="1" applyNumberFormat="1" applyFont="1" applyFill="1" applyBorder="1" applyAlignment="1">
      <alignment horizontal="center" vertical="center"/>
    </xf>
    <xf numFmtId="0" fontId="19" fillId="9" borderId="45" xfId="1" applyFont="1" applyFill="1" applyBorder="1" applyAlignment="1">
      <alignment horizontal="center" vertical="center"/>
    </xf>
    <xf numFmtId="0" fontId="18" fillId="9" borderId="0" xfId="1" applyFont="1" applyFill="1"/>
    <xf numFmtId="16" fontId="26" fillId="11" borderId="7" xfId="1" applyNumberFormat="1" applyFont="1" applyFill="1" applyBorder="1"/>
    <xf numFmtId="0" fontId="26" fillId="11" borderId="11" xfId="1" applyFont="1" applyFill="1" applyBorder="1" applyAlignment="1">
      <alignment horizontal="center" vertical="center"/>
    </xf>
    <xf numFmtId="0" fontId="18" fillId="11" borderId="16" xfId="1" applyFont="1" applyFill="1" applyBorder="1" applyAlignment="1">
      <alignment horizontal="center" vertical="center"/>
    </xf>
    <xf numFmtId="0" fontId="18" fillId="11" borderId="72" xfId="1" applyFont="1" applyFill="1" applyBorder="1" applyAlignment="1">
      <alignment horizontal="center" vertical="center"/>
    </xf>
    <xf numFmtId="0" fontId="18" fillId="11" borderId="10" xfId="1" applyFont="1" applyFill="1" applyBorder="1" applyAlignment="1">
      <alignment horizontal="center" vertical="center"/>
    </xf>
    <xf numFmtId="0" fontId="18" fillId="11" borderId="11" xfId="1" applyFont="1" applyFill="1" applyBorder="1" applyAlignment="1">
      <alignment horizontal="center" vertical="center"/>
    </xf>
    <xf numFmtId="2" fontId="18" fillId="11" borderId="32" xfId="1" applyNumberFormat="1" applyFont="1" applyFill="1" applyBorder="1" applyAlignment="1">
      <alignment horizontal="center" vertical="center"/>
    </xf>
    <xf numFmtId="0" fontId="18" fillId="11" borderId="7" xfId="1" applyFont="1" applyFill="1" applyBorder="1" applyAlignment="1">
      <alignment horizontal="center" vertical="center"/>
    </xf>
    <xf numFmtId="0" fontId="18" fillId="11" borderId="8" xfId="1" applyFont="1" applyFill="1" applyBorder="1" applyAlignment="1">
      <alignment horizontal="center" vertical="center"/>
    </xf>
    <xf numFmtId="0" fontId="18" fillId="11" borderId="9" xfId="1" applyFont="1" applyFill="1" applyBorder="1" applyAlignment="1">
      <alignment horizontal="center" vertical="center"/>
    </xf>
    <xf numFmtId="0" fontId="18" fillId="11" borderId="1" xfId="1" applyFont="1" applyFill="1" applyBorder="1" applyAlignment="1">
      <alignment horizontal="center" vertical="center" wrapText="1"/>
    </xf>
    <xf numFmtId="2" fontId="18" fillId="11" borderId="1" xfId="1" applyNumberFormat="1" applyFont="1" applyFill="1" applyBorder="1" applyAlignment="1">
      <alignment horizontal="center" vertical="center" wrapText="1"/>
    </xf>
    <xf numFmtId="2" fontId="18" fillId="11" borderId="67" xfId="1" applyNumberFormat="1" applyFont="1" applyFill="1" applyBorder="1" applyAlignment="1">
      <alignment horizontal="center" vertical="center"/>
    </xf>
    <xf numFmtId="2" fontId="18" fillId="11" borderId="7" xfId="1" applyNumberFormat="1" applyFont="1" applyFill="1" applyBorder="1" applyAlignment="1">
      <alignment horizontal="center" vertical="center"/>
    </xf>
    <xf numFmtId="2" fontId="18" fillId="11" borderId="9" xfId="1" applyNumberFormat="1" applyFont="1" applyFill="1" applyBorder="1" applyAlignment="1">
      <alignment horizontal="center" vertical="center"/>
    </xf>
    <xf numFmtId="0" fontId="18" fillId="11" borderId="2" xfId="1" applyFont="1" applyFill="1" applyBorder="1" applyAlignment="1">
      <alignment horizontal="center" vertical="center"/>
    </xf>
    <xf numFmtId="0" fontId="18" fillId="11" borderId="61" xfId="1" applyFont="1" applyFill="1" applyBorder="1" applyAlignment="1">
      <alignment horizontal="center" vertical="center"/>
    </xf>
    <xf numFmtId="164" fontId="18" fillId="11" borderId="32" xfId="1" applyNumberFormat="1" applyFont="1" applyFill="1" applyBorder="1" applyAlignment="1">
      <alignment horizontal="center" vertical="center"/>
    </xf>
    <xf numFmtId="164" fontId="18" fillId="11" borderId="33" xfId="1" applyNumberFormat="1" applyFont="1" applyFill="1" applyBorder="1" applyAlignment="1">
      <alignment horizontal="center" vertical="center"/>
    </xf>
    <xf numFmtId="0" fontId="18" fillId="11" borderId="29" xfId="1" applyFont="1" applyFill="1" applyBorder="1" applyAlignment="1">
      <alignment horizontal="center" vertical="center"/>
    </xf>
    <xf numFmtId="0" fontId="18" fillId="11" borderId="28" xfId="1" applyFont="1" applyFill="1" applyBorder="1" applyAlignment="1">
      <alignment horizontal="center" vertical="center"/>
    </xf>
    <xf numFmtId="0" fontId="18" fillId="11" borderId="67" xfId="1" applyFont="1" applyFill="1" applyBorder="1" applyAlignment="1">
      <alignment horizontal="center" vertical="center"/>
    </xf>
    <xf numFmtId="0" fontId="18" fillId="11" borderId="16" xfId="1" applyFont="1" applyFill="1" applyBorder="1" applyAlignment="1">
      <alignment horizontal="center" vertical="center" wrapText="1"/>
    </xf>
    <xf numFmtId="0" fontId="18" fillId="11" borderId="0" xfId="1" applyFont="1" applyFill="1" applyAlignment="1">
      <alignment horizontal="center" vertical="center"/>
    </xf>
    <xf numFmtId="0" fontId="18" fillId="11" borderId="39" xfId="1" applyFont="1" applyFill="1" applyBorder="1" applyAlignment="1">
      <alignment horizontal="center" vertical="center"/>
    </xf>
    <xf numFmtId="0" fontId="18" fillId="11" borderId="31" xfId="1" applyFont="1" applyFill="1" applyBorder="1" applyAlignment="1">
      <alignment horizontal="center" vertical="center"/>
    </xf>
    <xf numFmtId="2" fontId="18" fillId="11" borderId="45" xfId="1" applyNumberFormat="1" applyFont="1" applyFill="1" applyBorder="1" applyAlignment="1">
      <alignment horizontal="center" vertical="center"/>
    </xf>
    <xf numFmtId="0" fontId="18" fillId="11" borderId="39" xfId="1" applyFont="1" applyFill="1" applyBorder="1" applyAlignment="1">
      <alignment horizontal="center" vertical="center" wrapText="1"/>
    </xf>
    <xf numFmtId="2" fontId="18" fillId="11" borderId="57" xfId="1" applyNumberFormat="1" applyFont="1" applyFill="1" applyBorder="1" applyAlignment="1">
      <alignment horizontal="center" vertical="center" wrapText="1"/>
    </xf>
    <xf numFmtId="2" fontId="18" fillId="11" borderId="0" xfId="1" applyNumberFormat="1" applyFont="1" applyFill="1" applyAlignment="1">
      <alignment horizontal="center" vertical="center"/>
    </xf>
    <xf numFmtId="2" fontId="18" fillId="11" borderId="39" xfId="1" applyNumberFormat="1" applyFont="1" applyFill="1" applyBorder="1" applyAlignment="1">
      <alignment horizontal="center" vertical="center" wrapText="1"/>
    </xf>
    <xf numFmtId="2" fontId="18" fillId="11" borderId="0" xfId="1" applyNumberFormat="1" applyFont="1" applyFill="1" applyAlignment="1">
      <alignment horizontal="center" vertical="center" wrapText="1"/>
    </xf>
    <xf numFmtId="2" fontId="18" fillId="11" borderId="45" xfId="1" applyNumberFormat="1" applyFont="1" applyFill="1" applyBorder="1" applyAlignment="1">
      <alignment horizontal="center" vertical="center" wrapText="1"/>
    </xf>
    <xf numFmtId="2" fontId="18" fillId="11" borderId="39" xfId="1" applyNumberFormat="1" applyFont="1" applyFill="1" applyBorder="1" applyAlignment="1">
      <alignment horizontal="center" vertical="center"/>
    </xf>
    <xf numFmtId="166" fontId="18" fillId="11" borderId="57" xfId="1" applyNumberFormat="1" applyFont="1" applyFill="1" applyBorder="1" applyAlignment="1">
      <alignment horizontal="center" vertical="center"/>
    </xf>
    <xf numFmtId="166" fontId="19" fillId="11" borderId="39" xfId="1" applyNumberFormat="1" applyFont="1" applyFill="1" applyBorder="1" applyAlignment="1">
      <alignment horizontal="center" vertical="center"/>
    </xf>
    <xf numFmtId="166" fontId="19" fillId="11" borderId="57" xfId="1" applyNumberFormat="1" applyFont="1" applyFill="1" applyBorder="1" applyAlignment="1">
      <alignment horizontal="center" vertical="center"/>
    </xf>
    <xf numFmtId="0" fontId="19" fillId="11" borderId="45" xfId="1" applyFont="1" applyFill="1" applyBorder="1" applyAlignment="1">
      <alignment horizontal="center" vertical="center"/>
    </xf>
    <xf numFmtId="0" fontId="18" fillId="11" borderId="0" xfId="1" applyFont="1" applyFill="1"/>
    <xf numFmtId="0" fontId="26" fillId="0" borderId="11" xfId="1" applyFont="1" applyBorder="1" applyAlignment="1">
      <alignment horizontal="center" vertical="center"/>
    </xf>
    <xf numFmtId="0" fontId="18" fillId="0" borderId="72" xfId="1" applyFont="1" applyBorder="1" applyAlignment="1">
      <alignment horizontal="center" vertical="center"/>
    </xf>
    <xf numFmtId="0" fontId="18" fillId="4" borderId="16" xfId="1" applyFont="1" applyFill="1" applyBorder="1" applyAlignment="1">
      <alignment horizontal="center" vertical="center"/>
    </xf>
    <xf numFmtId="0" fontId="18" fillId="5" borderId="16" xfId="1" applyFont="1" applyFill="1" applyBorder="1" applyAlignment="1">
      <alignment horizontal="center" vertical="center"/>
    </xf>
    <xf numFmtId="0" fontId="18" fillId="6" borderId="61" xfId="1" applyFont="1" applyFill="1" applyBorder="1" applyAlignment="1">
      <alignment horizontal="center" vertical="center"/>
    </xf>
    <xf numFmtId="164" fontId="18" fillId="3" borderId="32" xfId="1" applyNumberFormat="1" applyFont="1" applyFill="1" applyBorder="1" applyAlignment="1">
      <alignment horizontal="center" vertical="center"/>
    </xf>
    <xf numFmtId="164" fontId="18" fillId="3" borderId="33" xfId="1" applyNumberFormat="1" applyFont="1" applyFill="1" applyBorder="1" applyAlignment="1">
      <alignment horizontal="center" vertical="center"/>
    </xf>
    <xf numFmtId="0" fontId="18" fillId="7" borderId="3" xfId="1" applyFont="1" applyFill="1" applyBorder="1" applyAlignment="1">
      <alignment horizontal="center" vertical="center"/>
    </xf>
    <xf numFmtId="0" fontId="18" fillId="13" borderId="3" xfId="1" applyFont="1" applyFill="1" applyBorder="1" applyAlignment="1">
      <alignment horizontal="center" vertical="center"/>
    </xf>
    <xf numFmtId="0" fontId="18" fillId="10" borderId="61" xfId="1" applyFont="1" applyFill="1" applyBorder="1" applyAlignment="1">
      <alignment horizontal="center" vertical="center"/>
    </xf>
    <xf numFmtId="0" fontId="18" fillId="0" borderId="39" xfId="1" applyFont="1" applyBorder="1" applyAlignment="1">
      <alignment horizontal="center" vertical="center" wrapText="1"/>
    </xf>
    <xf numFmtId="166" fontId="19" fillId="14" borderId="0" xfId="1" applyNumberFormat="1" applyFont="1" applyFill="1" applyAlignment="1">
      <alignment horizontal="center" vertical="center"/>
    </xf>
    <xf numFmtId="0" fontId="26" fillId="0" borderId="19" xfId="1" applyFont="1" applyBorder="1" applyAlignment="1">
      <alignment horizontal="center" vertical="center"/>
    </xf>
    <xf numFmtId="0" fontId="18" fillId="0" borderId="66" xfId="1" applyFont="1" applyBorder="1" applyAlignment="1">
      <alignment horizontal="center" vertical="center"/>
    </xf>
    <xf numFmtId="0" fontId="18" fillId="4" borderId="70" xfId="1" applyFont="1" applyFill="1" applyBorder="1" applyAlignment="1">
      <alignment horizontal="center" vertical="center"/>
    </xf>
    <xf numFmtId="0" fontId="18" fillId="5" borderId="70" xfId="1" applyFont="1" applyFill="1" applyBorder="1" applyAlignment="1">
      <alignment horizontal="center" vertical="center"/>
    </xf>
    <xf numFmtId="2" fontId="18" fillId="0" borderId="58" xfId="1" applyNumberFormat="1" applyFont="1" applyBorder="1" applyAlignment="1">
      <alignment horizontal="center" vertical="center"/>
    </xf>
    <xf numFmtId="2" fontId="18" fillId="0" borderId="17" xfId="1" applyNumberFormat="1" applyFont="1" applyBorder="1" applyAlignment="1">
      <alignment horizontal="center" vertical="center"/>
    </xf>
    <xf numFmtId="2" fontId="18" fillId="0" borderId="19" xfId="1" applyNumberFormat="1" applyFont="1" applyBorder="1" applyAlignment="1">
      <alignment horizontal="center" vertical="center"/>
    </xf>
    <xf numFmtId="0" fontId="18" fillId="6" borderId="62" xfId="1" applyFont="1" applyFill="1" applyBorder="1" applyAlignment="1">
      <alignment horizontal="center" vertical="center"/>
    </xf>
    <xf numFmtId="164" fontId="18" fillId="3" borderId="59" xfId="1" applyNumberFormat="1" applyFont="1" applyFill="1" applyBorder="1" applyAlignment="1">
      <alignment horizontal="center" vertical="center"/>
    </xf>
    <xf numFmtId="164" fontId="18" fillId="3" borderId="55" xfId="1" applyNumberFormat="1" applyFont="1" applyFill="1" applyBorder="1" applyAlignment="1">
      <alignment horizontal="center" vertical="center"/>
    </xf>
    <xf numFmtId="0" fontId="18" fillId="3" borderId="62" xfId="1" applyFont="1" applyFill="1" applyBorder="1" applyAlignment="1">
      <alignment horizontal="center" vertical="center"/>
    </xf>
    <xf numFmtId="0" fontId="18" fillId="3" borderId="19" xfId="1" applyFont="1" applyFill="1" applyBorder="1" applyAlignment="1">
      <alignment horizontal="center" vertical="center"/>
    </xf>
    <xf numFmtId="0" fontId="18" fillId="7" borderId="66" xfId="1" applyFont="1" applyFill="1" applyBorder="1" applyAlignment="1">
      <alignment horizontal="center" vertical="center"/>
    </xf>
    <xf numFmtId="0" fontId="18" fillId="13" borderId="66" xfId="1" applyFont="1" applyFill="1" applyBorder="1" applyAlignment="1">
      <alignment horizontal="center" vertical="center"/>
    </xf>
    <xf numFmtId="0" fontId="18" fillId="10" borderId="62" xfId="1" applyFont="1" applyFill="1" applyBorder="1" applyAlignment="1">
      <alignment horizontal="center" vertical="center"/>
    </xf>
    <xf numFmtId="0" fontId="18" fillId="0" borderId="46" xfId="1" applyFont="1" applyBorder="1" applyAlignment="1">
      <alignment horizontal="center" vertical="center" wrapText="1"/>
    </xf>
    <xf numFmtId="166" fontId="18" fillId="14" borderId="58" xfId="1" applyNumberFormat="1" applyFont="1" applyFill="1" applyBorder="1" applyAlignment="1">
      <alignment horizontal="center" vertical="center"/>
    </xf>
    <xf numFmtId="166" fontId="19" fillId="14" borderId="46" xfId="1" applyNumberFormat="1" applyFont="1" applyFill="1" applyBorder="1" applyAlignment="1">
      <alignment horizontal="center" vertical="center"/>
    </xf>
    <xf numFmtId="0" fontId="19" fillId="14" borderId="47" xfId="1" applyFont="1" applyFill="1" applyBorder="1" applyAlignment="1">
      <alignment horizontal="center" vertical="center"/>
    </xf>
    <xf numFmtId="16" fontId="30" fillId="0" borderId="7" xfId="1" applyNumberFormat="1" applyFont="1" applyBorder="1"/>
    <xf numFmtId="16" fontId="30" fillId="0" borderId="9" xfId="1" applyNumberFormat="1" applyFont="1" applyBorder="1"/>
    <xf numFmtId="16" fontId="30" fillId="0" borderId="7" xfId="1" applyNumberFormat="1" applyFont="1" applyBorder="1" applyAlignment="1">
      <alignment horizontal="center" vertical="center"/>
    </xf>
    <xf numFmtId="16" fontId="30" fillId="0" borderId="8" xfId="1" applyNumberFormat="1" applyFont="1" applyBorder="1" applyAlignment="1">
      <alignment horizontal="center" vertical="center"/>
    </xf>
    <xf numFmtId="16" fontId="18" fillId="0" borderId="8" xfId="1" applyNumberFormat="1" applyFont="1" applyBorder="1" applyAlignment="1">
      <alignment horizontal="center" vertical="center"/>
    </xf>
    <xf numFmtId="16" fontId="18" fillId="0" borderId="28" xfId="1" applyNumberFormat="1" applyFont="1" applyBorder="1" applyAlignment="1">
      <alignment horizontal="center" vertical="center"/>
    </xf>
    <xf numFmtId="16" fontId="18" fillId="0" borderId="9" xfId="1" applyNumberFormat="1" applyFont="1" applyBorder="1" applyAlignment="1">
      <alignment horizontal="center" vertical="center"/>
    </xf>
    <xf numFmtId="16" fontId="18" fillId="0" borderId="29" xfId="1" applyNumberFormat="1" applyFont="1" applyBorder="1" applyAlignment="1">
      <alignment horizontal="center" vertical="center"/>
    </xf>
    <xf numFmtId="16" fontId="18" fillId="4" borderId="67" xfId="1" applyNumberFormat="1" applyFont="1" applyFill="1" applyBorder="1" applyAlignment="1">
      <alignment horizontal="center" vertical="center"/>
    </xf>
    <xf numFmtId="16" fontId="18" fillId="0" borderId="7" xfId="1" applyNumberFormat="1" applyFont="1" applyBorder="1" applyAlignment="1">
      <alignment horizontal="center" vertical="center"/>
    </xf>
    <xf numFmtId="16" fontId="30" fillId="0" borderId="10" xfId="1" applyNumberFormat="1" applyFont="1" applyBorder="1"/>
    <xf numFmtId="16" fontId="30" fillId="0" borderId="11" xfId="1" applyNumberFormat="1" applyFont="1" applyBorder="1"/>
    <xf numFmtId="16" fontId="30" fillId="0" borderId="10" xfId="1" applyNumberFormat="1" applyFont="1" applyBorder="1" applyAlignment="1">
      <alignment horizontal="center" vertical="center"/>
    </xf>
    <xf numFmtId="16" fontId="30" fillId="0" borderId="1" xfId="1" applyNumberFormat="1" applyFont="1" applyBorder="1" applyAlignment="1">
      <alignment horizontal="center" vertical="center"/>
    </xf>
    <xf numFmtId="16" fontId="18" fillId="0" borderId="1" xfId="1" applyNumberFormat="1" applyFont="1" applyBorder="1" applyAlignment="1">
      <alignment horizontal="center" vertical="center"/>
    </xf>
    <xf numFmtId="16" fontId="18" fillId="0" borderId="33" xfId="1" applyNumberFormat="1" applyFont="1" applyBorder="1" applyAlignment="1">
      <alignment horizontal="center" vertical="center"/>
    </xf>
    <xf numFmtId="16" fontId="18" fillId="0" borderId="11" xfId="1" applyNumberFormat="1" applyFont="1" applyBorder="1" applyAlignment="1">
      <alignment horizontal="center" vertical="center"/>
    </xf>
    <xf numFmtId="16" fontId="18" fillId="0" borderId="32" xfId="1" applyNumberFormat="1" applyFont="1" applyBorder="1" applyAlignment="1">
      <alignment horizontal="center" vertical="center"/>
    </xf>
    <xf numFmtId="16" fontId="18" fillId="4" borderId="16" xfId="1" applyNumberFormat="1" applyFont="1" applyFill="1" applyBorder="1" applyAlignment="1">
      <alignment horizontal="center" vertical="center"/>
    </xf>
    <xf numFmtId="16" fontId="18" fillId="0" borderId="10" xfId="1" applyNumberFormat="1" applyFont="1" applyBorder="1" applyAlignment="1">
      <alignment horizontal="center" vertical="center"/>
    </xf>
    <xf numFmtId="16" fontId="30" fillId="0" borderId="17" xfId="1" applyNumberFormat="1" applyFont="1" applyBorder="1"/>
    <xf numFmtId="16" fontId="30" fillId="0" borderId="19" xfId="1" applyNumberFormat="1" applyFont="1" applyBorder="1"/>
    <xf numFmtId="16" fontId="30" fillId="0" borderId="17" xfId="1" applyNumberFormat="1" applyFont="1" applyBorder="1" applyAlignment="1">
      <alignment horizontal="center" vertical="center"/>
    </xf>
    <xf numFmtId="16" fontId="30" fillId="0" borderId="18" xfId="1" applyNumberFormat="1" applyFont="1" applyBorder="1" applyAlignment="1">
      <alignment horizontal="center" vertical="center"/>
    </xf>
    <xf numFmtId="16" fontId="18" fillId="0" borderId="18" xfId="1" applyNumberFormat="1" applyFont="1" applyBorder="1" applyAlignment="1">
      <alignment horizontal="center" vertical="center"/>
    </xf>
    <xf numFmtId="16" fontId="18" fillId="0" borderId="55" xfId="1" applyNumberFormat="1" applyFont="1" applyBorder="1" applyAlignment="1">
      <alignment horizontal="center" vertical="center"/>
    </xf>
    <xf numFmtId="16" fontId="18" fillId="0" borderId="19" xfId="1" applyNumberFormat="1" applyFont="1" applyBorder="1" applyAlignment="1">
      <alignment horizontal="center" vertical="center"/>
    </xf>
    <xf numFmtId="16" fontId="18" fillId="0" borderId="59" xfId="1" applyNumberFormat="1" applyFont="1" applyBorder="1" applyAlignment="1">
      <alignment horizontal="center" vertical="center"/>
    </xf>
    <xf numFmtId="16" fontId="18" fillId="4" borderId="70" xfId="1" applyNumberFormat="1" applyFont="1" applyFill="1" applyBorder="1" applyAlignment="1">
      <alignment horizontal="center" vertical="center"/>
    </xf>
    <xf numFmtId="16" fontId="18" fillId="0" borderId="17" xfId="1" applyNumberFormat="1" applyFont="1" applyBorder="1" applyAlignment="1">
      <alignment horizontal="center" vertical="center"/>
    </xf>
    <xf numFmtId="0" fontId="18" fillId="13" borderId="70" xfId="1" applyFont="1" applyFill="1" applyBorder="1" applyAlignment="1">
      <alignment horizontal="center" vertical="center"/>
    </xf>
    <xf numFmtId="0" fontId="18" fillId="0" borderId="47" xfId="1" applyFont="1" applyBorder="1" applyAlignment="1">
      <alignment horizontal="center" vertical="center"/>
    </xf>
    <xf numFmtId="0" fontId="18" fillId="0" borderId="43" xfId="1" applyFont="1" applyBorder="1"/>
    <xf numFmtId="0" fontId="1" fillId="0" borderId="0" xfId="0" applyFont="1" applyAlignment="1">
      <alignment horizontal="right"/>
    </xf>
    <xf numFmtId="0" fontId="1" fillId="9" borderId="0" xfId="0" applyFont="1" applyFill="1"/>
    <xf numFmtId="0" fontId="2" fillId="0" borderId="0" xfId="2" applyFont="1" applyAlignment="1">
      <alignment horizontal="center"/>
    </xf>
    <xf numFmtId="0" fontId="2" fillId="0" borderId="0" xfId="2" applyFont="1"/>
    <xf numFmtId="0" fontId="3" fillId="2" borderId="0" xfId="2" applyFont="1" applyFill="1" applyAlignment="1">
      <alignment horizontal="center"/>
    </xf>
    <xf numFmtId="0" fontId="4" fillId="0" borderId="0" xfId="2" applyFont="1"/>
    <xf numFmtId="0" fontId="5" fillId="0" borderId="0" xfId="2" applyFont="1" applyAlignment="1">
      <alignment horizontal="right"/>
    </xf>
    <xf numFmtId="0" fontId="4" fillId="18" borderId="2" xfId="2" applyFont="1" applyFill="1" applyBorder="1" applyAlignment="1">
      <alignment horizontal="left"/>
    </xf>
    <xf numFmtId="0" fontId="5" fillId="18" borderId="2" xfId="2" applyFont="1" applyFill="1" applyBorder="1" applyAlignment="1">
      <alignment horizontal="center"/>
    </xf>
    <xf numFmtId="0" fontId="5" fillId="0" borderId="0" xfId="2" applyFont="1" applyAlignment="1">
      <alignment horizontal="left"/>
    </xf>
    <xf numFmtId="0" fontId="5" fillId="0" borderId="0" xfId="2" applyFont="1" applyAlignment="1">
      <alignment horizontal="center"/>
    </xf>
    <xf numFmtId="0" fontId="4" fillId="2" borderId="0" xfId="2" applyFont="1" applyFill="1" applyAlignment="1">
      <alignment horizontal="center"/>
    </xf>
    <xf numFmtId="14" fontId="5" fillId="18" borderId="3" xfId="2" applyNumberFormat="1" applyFont="1" applyFill="1" applyBorder="1" applyAlignment="1">
      <alignment horizontal="left"/>
    </xf>
    <xf numFmtId="0" fontId="5" fillId="18" borderId="3" xfId="2" applyFont="1" applyFill="1" applyBorder="1" applyAlignment="1">
      <alignment horizontal="center"/>
    </xf>
    <xf numFmtId="0" fontId="5" fillId="18" borderId="3" xfId="2" applyFont="1" applyFill="1" applyBorder="1" applyAlignment="1">
      <alignment horizontal="left"/>
    </xf>
    <xf numFmtId="1" fontId="4" fillId="2" borderId="0" xfId="2" applyNumberFormat="1" applyFont="1" applyFill="1" applyAlignment="1">
      <alignment horizontal="center"/>
    </xf>
    <xf numFmtId="2" fontId="4" fillId="2" borderId="0" xfId="2" applyNumberFormat="1" applyFont="1" applyFill="1" applyAlignment="1">
      <alignment horizontal="center"/>
    </xf>
    <xf numFmtId="0" fontId="4" fillId="0" borderId="0" xfId="2" applyFont="1" applyAlignment="1">
      <alignment horizontal="left"/>
    </xf>
    <xf numFmtId="0" fontId="4" fillId="0" borderId="0" xfId="2" applyFont="1" applyAlignment="1">
      <alignment horizontal="center"/>
    </xf>
    <xf numFmtId="0" fontId="6" fillId="0" borderId="0" xfId="2" applyFont="1" applyAlignment="1">
      <alignment horizontal="center" wrapText="1"/>
    </xf>
    <xf numFmtId="0" fontId="34" fillId="0" borderId="0" xfId="2" applyFont="1" applyAlignment="1">
      <alignment horizontal="center" wrapText="1"/>
    </xf>
    <xf numFmtId="0" fontId="7" fillId="5" borderId="4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37" xfId="2" applyFont="1" applyFill="1" applyBorder="1" applyAlignment="1">
      <alignment horizontal="center" vertical="center"/>
    </xf>
    <xf numFmtId="0" fontId="7" fillId="5" borderId="34" xfId="2" applyFont="1" applyFill="1" applyBorder="1" applyAlignment="1">
      <alignment horizontal="center" vertical="center"/>
    </xf>
    <xf numFmtId="0" fontId="8" fillId="0" borderId="7" xfId="2" applyFont="1" applyBorder="1" applyAlignment="1">
      <alignment horizontal="left"/>
    </xf>
    <xf numFmtId="0" fontId="5" fillId="0" borderId="8" xfId="2" applyFont="1" applyBorder="1" applyAlignment="1">
      <alignment horizontal="center"/>
    </xf>
    <xf numFmtId="0" fontId="4" fillId="0" borderId="28" xfId="2" applyFont="1" applyBorder="1" applyAlignment="1">
      <alignment horizontal="center"/>
    </xf>
    <xf numFmtId="0" fontId="4" fillId="2" borderId="67" xfId="2" applyFont="1" applyFill="1" applyBorder="1" applyAlignment="1">
      <alignment horizontal="center"/>
    </xf>
    <xf numFmtId="2" fontId="9" fillId="19" borderId="67" xfId="2" applyNumberFormat="1" applyFont="1" applyFill="1" applyBorder="1" applyAlignment="1">
      <alignment horizontal="center"/>
    </xf>
    <xf numFmtId="2" fontId="9" fillId="19" borderId="74" xfId="2" applyNumberFormat="1" applyFont="1" applyFill="1" applyBorder="1" applyAlignment="1">
      <alignment horizontal="center"/>
    </xf>
    <xf numFmtId="2" fontId="9" fillId="19" borderId="9" xfId="2" applyNumberFormat="1" applyFont="1" applyFill="1" applyBorder="1" applyAlignment="1">
      <alignment horizontal="center"/>
    </xf>
    <xf numFmtId="0" fontId="8" fillId="0" borderId="10" xfId="2" applyFont="1" applyBorder="1" applyAlignment="1">
      <alignment horizontal="left"/>
    </xf>
    <xf numFmtId="0" fontId="5" fillId="0" borderId="1" xfId="2" applyFont="1" applyBorder="1" applyAlignment="1">
      <alignment horizontal="center"/>
    </xf>
    <xf numFmtId="0" fontId="4" fillId="0" borderId="33" xfId="2" applyFont="1" applyBorder="1" applyAlignment="1">
      <alignment horizontal="center"/>
    </xf>
    <xf numFmtId="0" fontId="4" fillId="2" borderId="16" xfId="2" applyFont="1" applyFill="1" applyBorder="1" applyAlignment="1">
      <alignment horizontal="center"/>
    </xf>
    <xf numFmtId="2" fontId="9" fillId="2" borderId="67" xfId="2" applyNumberFormat="1" applyFont="1" applyFill="1" applyBorder="1" applyAlignment="1">
      <alignment horizontal="center"/>
    </xf>
    <xf numFmtId="2" fontId="9" fillId="2" borderId="74" xfId="2" applyNumberFormat="1" applyFont="1" applyFill="1" applyBorder="1" applyAlignment="1">
      <alignment horizontal="center"/>
    </xf>
    <xf numFmtId="2" fontId="9" fillId="2" borderId="9" xfId="2" applyNumberFormat="1" applyFont="1" applyFill="1" applyBorder="1" applyAlignment="1">
      <alignment horizontal="center"/>
    </xf>
    <xf numFmtId="0" fontId="8" fillId="0" borderId="10" xfId="2" applyFont="1" applyBorder="1" applyAlignment="1">
      <alignment horizontal="left" vertical="center"/>
    </xf>
    <xf numFmtId="0" fontId="4" fillId="20" borderId="16" xfId="2" applyFont="1" applyFill="1" applyBorder="1" applyAlignment="1">
      <alignment horizontal="center"/>
    </xf>
    <xf numFmtId="0" fontId="4" fillId="0" borderId="16" xfId="2" applyFont="1" applyBorder="1" applyAlignment="1">
      <alignment horizontal="center"/>
    </xf>
    <xf numFmtId="0" fontId="4" fillId="0" borderId="72" xfId="2" applyFont="1" applyBorder="1" applyAlignment="1">
      <alignment horizontal="center"/>
    </xf>
    <xf numFmtId="0" fontId="4" fillId="0" borderId="11" xfId="2" applyFont="1" applyBorder="1" applyAlignment="1">
      <alignment horizontal="center"/>
    </xf>
    <xf numFmtId="0" fontId="4" fillId="20" borderId="72" xfId="2" applyFont="1" applyFill="1" applyBorder="1" applyAlignment="1">
      <alignment horizontal="center"/>
    </xf>
    <xf numFmtId="0" fontId="4" fillId="20" borderId="11" xfId="2" applyFont="1" applyFill="1" applyBorder="1" applyAlignment="1">
      <alignment horizontal="center"/>
    </xf>
    <xf numFmtId="0" fontId="8" fillId="0" borderId="10" xfId="2" applyFont="1" applyBorder="1"/>
    <xf numFmtId="0" fontId="11" fillId="0" borderId="13" xfId="2" applyFont="1" applyBorder="1" applyAlignment="1">
      <alignment horizontal="center" vertical="center"/>
    </xf>
    <xf numFmtId="0" fontId="9" fillId="0" borderId="30" xfId="2" applyFont="1" applyBorder="1" applyAlignment="1">
      <alignment horizontal="center" vertical="center"/>
    </xf>
    <xf numFmtId="0" fontId="9" fillId="20" borderId="16" xfId="2" applyFont="1" applyFill="1" applyBorder="1" applyAlignment="1">
      <alignment horizontal="center"/>
    </xf>
    <xf numFmtId="0" fontId="9" fillId="2" borderId="16" xfId="2" applyFont="1" applyFill="1" applyBorder="1" applyAlignment="1">
      <alignment horizontal="center"/>
    </xf>
    <xf numFmtId="0" fontId="9" fillId="2" borderId="72" xfId="2" applyFont="1" applyFill="1" applyBorder="1" applyAlignment="1">
      <alignment horizontal="center"/>
    </xf>
    <xf numFmtId="0" fontId="9" fillId="2" borderId="11" xfId="2" applyFont="1" applyFill="1" applyBorder="1" applyAlignment="1">
      <alignment horizontal="center"/>
    </xf>
    <xf numFmtId="0" fontId="9" fillId="19" borderId="16" xfId="2" applyFont="1" applyFill="1" applyBorder="1" applyAlignment="1">
      <alignment horizontal="center"/>
    </xf>
    <xf numFmtId="0" fontId="6" fillId="19" borderId="16" xfId="2" applyFont="1" applyFill="1" applyBorder="1" applyAlignment="1">
      <alignment horizontal="center"/>
    </xf>
    <xf numFmtId="0" fontId="6" fillId="19" borderId="72" xfId="2" applyFont="1" applyFill="1" applyBorder="1" applyAlignment="1">
      <alignment horizontal="center"/>
    </xf>
    <xf numFmtId="0" fontId="6" fillId="19" borderId="11" xfId="2" applyFont="1" applyFill="1" applyBorder="1" applyAlignment="1">
      <alignment horizontal="center"/>
    </xf>
    <xf numFmtId="0" fontId="9" fillId="19" borderId="72" xfId="2" applyFont="1" applyFill="1" applyBorder="1" applyAlignment="1">
      <alignment horizontal="center"/>
    </xf>
    <xf numFmtId="0" fontId="9" fillId="19" borderId="11" xfId="2" applyFont="1" applyFill="1" applyBorder="1" applyAlignment="1">
      <alignment horizontal="center"/>
    </xf>
    <xf numFmtId="0" fontId="9" fillId="20" borderId="72" xfId="2" applyFont="1" applyFill="1" applyBorder="1" applyAlignment="1">
      <alignment horizontal="center"/>
    </xf>
    <xf numFmtId="0" fontId="9" fillId="20" borderId="11" xfId="2" applyFont="1" applyFill="1" applyBorder="1" applyAlignment="1">
      <alignment horizontal="center"/>
    </xf>
    <xf numFmtId="164" fontId="4" fillId="20" borderId="16" xfId="2" applyNumberFormat="1" applyFont="1" applyFill="1" applyBorder="1" applyAlignment="1">
      <alignment horizontal="center"/>
    </xf>
    <xf numFmtId="0" fontId="11" fillId="0" borderId="1" xfId="2" applyFont="1" applyBorder="1" applyAlignment="1">
      <alignment horizontal="center" vertical="center"/>
    </xf>
    <xf numFmtId="0" fontId="9" fillId="0" borderId="33" xfId="2" applyFont="1" applyBorder="1" applyAlignment="1">
      <alignment horizontal="center"/>
    </xf>
    <xf numFmtId="0" fontId="9" fillId="0" borderId="16" xfId="2" applyFont="1" applyBorder="1" applyAlignment="1">
      <alignment horizontal="center"/>
    </xf>
    <xf numFmtId="166" fontId="9" fillId="0" borderId="16" xfId="2" applyNumberFormat="1" applyFont="1" applyBorder="1" applyAlignment="1">
      <alignment horizontal="center"/>
    </xf>
    <xf numFmtId="2" fontId="9" fillId="0" borderId="72" xfId="2" applyNumberFormat="1" applyFont="1" applyBorder="1" applyAlignment="1">
      <alignment horizontal="center"/>
    </xf>
    <xf numFmtId="2" fontId="9" fillId="0" borderId="11" xfId="2" applyNumberFormat="1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1" fontId="4" fillId="20" borderId="16" xfId="2" applyNumberFormat="1" applyFont="1" applyFill="1" applyBorder="1" applyAlignment="1">
      <alignment horizontal="center"/>
    </xf>
    <xf numFmtId="0" fontId="9" fillId="0" borderId="27" xfId="2" applyFont="1" applyBorder="1" applyAlignment="1">
      <alignment horizontal="center"/>
    </xf>
    <xf numFmtId="1" fontId="4" fillId="0" borderId="16" xfId="2" applyNumberFormat="1" applyFont="1" applyBorder="1" applyAlignment="1">
      <alignment horizontal="center"/>
    </xf>
    <xf numFmtId="1" fontId="8" fillId="0" borderId="16" xfId="2" applyNumberFormat="1" applyFont="1" applyBorder="1" applyAlignment="1">
      <alignment horizontal="center"/>
    </xf>
    <xf numFmtId="1" fontId="9" fillId="0" borderId="16" xfId="2" applyNumberFormat="1" applyFont="1" applyBorder="1" applyAlignment="1">
      <alignment horizontal="center"/>
    </xf>
    <xf numFmtId="1" fontId="9" fillId="0" borderId="72" xfId="2" applyNumberFormat="1" applyFont="1" applyBorder="1" applyAlignment="1">
      <alignment horizontal="center"/>
    </xf>
    <xf numFmtId="1" fontId="9" fillId="0" borderId="11" xfId="2" applyNumberFormat="1" applyFont="1" applyBorder="1" applyAlignment="1">
      <alignment horizontal="center"/>
    </xf>
    <xf numFmtId="0" fontId="35" fillId="0" borderId="0" xfId="2" applyFont="1"/>
    <xf numFmtId="165" fontId="4" fillId="0" borderId="16" xfId="2" applyNumberFormat="1" applyFont="1" applyBorder="1" applyAlignment="1">
      <alignment horizontal="center"/>
    </xf>
    <xf numFmtId="165" fontId="8" fillId="0" borderId="16" xfId="2" applyNumberFormat="1" applyFont="1" applyBorder="1" applyAlignment="1">
      <alignment horizontal="center"/>
    </xf>
    <xf numFmtId="0" fontId="12" fillId="0" borderId="10" xfId="2" applyFont="1" applyBorder="1" applyAlignment="1">
      <alignment horizontal="center"/>
    </xf>
    <xf numFmtId="165" fontId="4" fillId="0" borderId="0" xfId="2" applyNumberFormat="1" applyFont="1"/>
    <xf numFmtId="2" fontId="9" fillId="0" borderId="16" xfId="2" applyNumberFormat="1" applyFont="1" applyBorder="1" applyAlignment="1">
      <alignment horizontal="center"/>
    </xf>
    <xf numFmtId="0" fontId="29" fillId="14" borderId="10" xfId="2" applyFont="1" applyFill="1" applyBorder="1" applyAlignment="1">
      <alignment horizontal="center" vertical="center"/>
    </xf>
    <xf numFmtId="0" fontId="11" fillId="14" borderId="13" xfId="2" applyFont="1" applyFill="1" applyBorder="1" applyAlignment="1">
      <alignment horizontal="center" vertical="center"/>
    </xf>
    <xf numFmtId="0" fontId="9" fillId="14" borderId="30" xfId="2" applyFont="1" applyFill="1" applyBorder="1" applyAlignment="1">
      <alignment horizontal="center" vertical="center"/>
    </xf>
    <xf numFmtId="0" fontId="29" fillId="0" borderId="10" xfId="2" applyFont="1" applyBorder="1" applyAlignment="1">
      <alignment horizontal="center" vertical="center"/>
    </xf>
    <xf numFmtId="165" fontId="29" fillId="0" borderId="16" xfId="2" applyNumberFormat="1" applyFont="1" applyBorder="1" applyAlignment="1">
      <alignment horizontal="center"/>
    </xf>
    <xf numFmtId="0" fontId="6" fillId="0" borderId="10" xfId="2" applyFont="1" applyBorder="1" applyAlignment="1">
      <alignment horizontal="center"/>
    </xf>
    <xf numFmtId="164" fontId="9" fillId="0" borderId="16" xfId="2" applyNumberFormat="1" applyFont="1" applyBorder="1" applyAlignment="1">
      <alignment horizontal="center"/>
    </xf>
    <xf numFmtId="164" fontId="9" fillId="0" borderId="72" xfId="2" applyNumberFormat="1" applyFont="1" applyBorder="1" applyAlignment="1">
      <alignment horizontal="center"/>
    </xf>
    <xf numFmtId="164" fontId="9" fillId="0" borderId="11" xfId="2" applyNumberFormat="1" applyFont="1" applyBorder="1" applyAlignment="1">
      <alignment horizontal="center"/>
    </xf>
    <xf numFmtId="0" fontId="9" fillId="0" borderId="72" xfId="2" applyFont="1" applyBorder="1" applyAlignment="1">
      <alignment horizontal="center"/>
    </xf>
    <xf numFmtId="0" fontId="9" fillId="0" borderId="11" xfId="2" applyFont="1" applyBorder="1" applyAlignment="1">
      <alignment horizontal="center"/>
    </xf>
    <xf numFmtId="0" fontId="11" fillId="12" borderId="8" xfId="2" applyFont="1" applyFill="1" applyBorder="1" applyAlignment="1">
      <alignment horizontal="center" vertical="center"/>
    </xf>
    <xf numFmtId="0" fontId="6" fillId="0" borderId="16" xfId="2" applyFont="1" applyBorder="1" applyAlignment="1">
      <alignment horizontal="center"/>
    </xf>
    <xf numFmtId="164" fontId="6" fillId="0" borderId="16" xfId="2" applyNumberFormat="1" applyFont="1" applyBorder="1" applyAlignment="1">
      <alignment horizontal="center"/>
    </xf>
    <xf numFmtId="0" fontId="5" fillId="21" borderId="42" xfId="2" applyFont="1" applyFill="1" applyBorder="1" applyAlignment="1">
      <alignment horizontal="center" vertical="center"/>
    </xf>
    <xf numFmtId="0" fontId="11" fillId="21" borderId="8" xfId="2" applyFont="1" applyFill="1" applyBorder="1" applyAlignment="1">
      <alignment horizontal="center" vertical="center"/>
    </xf>
    <xf numFmtId="0" fontId="9" fillId="21" borderId="28" xfId="2" applyFont="1" applyFill="1" applyBorder="1" applyAlignment="1">
      <alignment horizontal="center" vertical="center"/>
    </xf>
    <xf numFmtId="0" fontId="6" fillId="21" borderId="16" xfId="2" applyFont="1" applyFill="1" applyBorder="1" applyAlignment="1">
      <alignment horizontal="center"/>
    </xf>
    <xf numFmtId="0" fontId="6" fillId="21" borderId="72" xfId="2" applyFont="1" applyFill="1" applyBorder="1" applyAlignment="1">
      <alignment horizontal="center"/>
    </xf>
    <xf numFmtId="0" fontId="5" fillId="17" borderId="39" xfId="2" applyFont="1" applyFill="1" applyBorder="1" applyAlignment="1">
      <alignment horizontal="center" vertical="center" wrapText="1"/>
    </xf>
    <xf numFmtId="0" fontId="5" fillId="17" borderId="16" xfId="2" applyFont="1" applyFill="1" applyBorder="1" applyAlignment="1">
      <alignment horizontal="center"/>
    </xf>
    <xf numFmtId="164" fontId="5" fillId="17" borderId="72" xfId="2" applyNumberFormat="1" applyFont="1" applyFill="1" applyBorder="1" applyAlignment="1">
      <alignment horizontal="center"/>
    </xf>
    <xf numFmtId="0" fontId="5" fillId="21" borderId="46" xfId="2" applyFont="1" applyFill="1" applyBorder="1" applyAlignment="1">
      <alignment horizontal="center" vertical="center" wrapText="1"/>
    </xf>
    <xf numFmtId="0" fontId="5" fillId="21" borderId="16" xfId="2" applyFont="1" applyFill="1" applyBorder="1" applyAlignment="1">
      <alignment horizontal="center"/>
    </xf>
    <xf numFmtId="0" fontId="9" fillId="0" borderId="33" xfId="2" applyFont="1" applyBorder="1" applyAlignment="1">
      <alignment horizontal="center" vertical="center"/>
    </xf>
    <xf numFmtId="0" fontId="4" fillId="2" borderId="0" xfId="2" applyFont="1" applyFill="1"/>
    <xf numFmtId="0" fontId="7" fillId="2" borderId="0" xfId="2" applyFont="1" applyFill="1" applyAlignment="1">
      <alignment horizontal="center" vertical="center"/>
    </xf>
    <xf numFmtId="0" fontId="8" fillId="2" borderId="0" xfId="2" applyFont="1" applyFill="1" applyAlignment="1">
      <alignment horizontal="left"/>
    </xf>
    <xf numFmtId="0" fontId="5" fillId="2" borderId="0" xfId="2" applyFont="1" applyFill="1" applyAlignment="1">
      <alignment vertical="center"/>
    </xf>
    <xf numFmtId="0" fontId="4" fillId="2" borderId="0" xfId="2" applyFont="1" applyFill="1" applyAlignment="1">
      <alignment vertical="center"/>
    </xf>
    <xf numFmtId="0" fontId="8" fillId="2" borderId="0" xfId="2" applyFont="1" applyFill="1" applyAlignment="1">
      <alignment horizontal="left" vertical="center"/>
    </xf>
    <xf numFmtId="164" fontId="4" fillId="2" borderId="0" xfId="2" applyNumberFormat="1" applyFont="1" applyFill="1" applyAlignment="1">
      <alignment horizontal="center"/>
    </xf>
    <xf numFmtId="0" fontId="7" fillId="5" borderId="38" xfId="2" applyFont="1" applyFill="1" applyBorder="1" applyAlignment="1">
      <alignment horizontal="center" vertical="center"/>
    </xf>
    <xf numFmtId="0" fontId="7" fillId="5" borderId="6" xfId="2" applyFont="1" applyFill="1" applyBorder="1" applyAlignment="1">
      <alignment horizontal="center" vertical="center"/>
    </xf>
    <xf numFmtId="0" fontId="6" fillId="0" borderId="72" xfId="2" applyFont="1" applyBorder="1" applyAlignment="1">
      <alignment horizontal="center"/>
    </xf>
    <xf numFmtId="0" fontId="6" fillId="0" borderId="11" xfId="2" applyFont="1" applyBorder="1" applyAlignment="1">
      <alignment horizontal="center"/>
    </xf>
    <xf numFmtId="166" fontId="9" fillId="0" borderId="11" xfId="2" applyNumberFormat="1" applyFont="1" applyBorder="1" applyAlignment="1">
      <alignment horizontal="center"/>
    </xf>
    <xf numFmtId="0" fontId="13" fillId="14" borderId="10" xfId="2" applyFont="1" applyFill="1" applyBorder="1" applyAlignment="1">
      <alignment horizontal="center"/>
    </xf>
    <xf numFmtId="0" fontId="9" fillId="14" borderId="16" xfId="2" applyFont="1" applyFill="1" applyBorder="1" applyAlignment="1">
      <alignment horizontal="center"/>
    </xf>
    <xf numFmtId="164" fontId="13" fillId="14" borderId="16" xfId="2" applyNumberFormat="1" applyFont="1" applyFill="1" applyBorder="1" applyAlignment="1">
      <alignment horizontal="center"/>
    </xf>
    <xf numFmtId="164" fontId="13" fillId="14" borderId="72" xfId="2" applyNumberFormat="1" applyFont="1" applyFill="1" applyBorder="1" applyAlignment="1">
      <alignment horizontal="center"/>
    </xf>
    <xf numFmtId="164" fontId="13" fillId="14" borderId="11" xfId="2" applyNumberFormat="1" applyFont="1" applyFill="1" applyBorder="1" applyAlignment="1">
      <alignment horizontal="center"/>
    </xf>
    <xf numFmtId="0" fontId="11" fillId="12" borderId="1" xfId="2" applyFont="1" applyFill="1" applyBorder="1" applyAlignment="1">
      <alignment horizontal="center"/>
    </xf>
    <xf numFmtId="0" fontId="8" fillId="0" borderId="17" xfId="2" applyFont="1" applyBorder="1"/>
    <xf numFmtId="0" fontId="11" fillId="0" borderId="18" xfId="2" applyFont="1" applyBorder="1" applyAlignment="1">
      <alignment horizontal="center"/>
    </xf>
    <xf numFmtId="0" fontId="9" fillId="0" borderId="55" xfId="2" applyFont="1" applyBorder="1" applyAlignment="1">
      <alignment horizontal="center"/>
    </xf>
    <xf numFmtId="0" fontId="9" fillId="20" borderId="70" xfId="2" applyFont="1" applyFill="1" applyBorder="1" applyAlignment="1">
      <alignment horizontal="center"/>
    </xf>
    <xf numFmtId="166" fontId="9" fillId="0" borderId="70" xfId="2" applyNumberFormat="1" applyFont="1" applyBorder="1" applyAlignment="1">
      <alignment horizontal="center"/>
    </xf>
    <xf numFmtId="166" fontId="9" fillId="0" borderId="73" xfId="2" applyNumberFormat="1" applyFont="1" applyBorder="1" applyAlignment="1">
      <alignment horizontal="center"/>
    </xf>
    <xf numFmtId="166" fontId="9" fillId="0" borderId="19" xfId="2" applyNumberFormat="1" applyFont="1" applyBorder="1" applyAlignment="1">
      <alignment horizontal="center"/>
    </xf>
    <xf numFmtId="0" fontId="4" fillId="2" borderId="8" xfId="2" applyFont="1" applyFill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4" fillId="0" borderId="8" xfId="2" applyFont="1" applyBorder="1" applyAlignment="1">
      <alignment horizontal="center"/>
    </xf>
    <xf numFmtId="0" fontId="4" fillId="0" borderId="12" xfId="2" applyFont="1" applyBorder="1" applyAlignment="1">
      <alignment horizontal="center"/>
    </xf>
    <xf numFmtId="0" fontId="8" fillId="0" borderId="17" xfId="2" applyFont="1" applyBorder="1" applyAlignment="1">
      <alignment horizontal="left" vertical="center"/>
    </xf>
    <xf numFmtId="0" fontId="4" fillId="0" borderId="18" xfId="2" applyFont="1" applyBorder="1" applyAlignment="1">
      <alignment horizontal="center"/>
    </xf>
    <xf numFmtId="164" fontId="4" fillId="2" borderId="8" xfId="2" applyNumberFormat="1" applyFont="1" applyFill="1" applyBorder="1" applyAlignment="1">
      <alignment horizontal="center"/>
    </xf>
    <xf numFmtId="164" fontId="4" fillId="0" borderId="1" xfId="2" applyNumberFormat="1" applyFont="1" applyBorder="1" applyAlignment="1">
      <alignment horizontal="center"/>
    </xf>
    <xf numFmtId="164" fontId="4" fillId="0" borderId="8" xfId="2" applyNumberFormat="1" applyFont="1" applyBorder="1" applyAlignment="1">
      <alignment horizontal="center"/>
    </xf>
    <xf numFmtId="164" fontId="4" fillId="0" borderId="12" xfId="2" applyNumberFormat="1" applyFont="1" applyBorder="1" applyAlignment="1">
      <alignment horizontal="center"/>
    </xf>
    <xf numFmtId="164" fontId="4" fillId="0" borderId="18" xfId="2" applyNumberFormat="1" applyFont="1" applyBorder="1" applyAlignment="1">
      <alignment horizontal="center"/>
    </xf>
    <xf numFmtId="0" fontId="5" fillId="18" borderId="0" xfId="2" applyFont="1" applyFill="1" applyAlignment="1">
      <alignment horizontal="right"/>
    </xf>
    <xf numFmtId="0" fontId="4" fillId="18" borderId="2" xfId="2" applyFont="1" applyFill="1" applyBorder="1"/>
    <xf numFmtId="0" fontId="5" fillId="18" borderId="22" xfId="2" applyFont="1" applyFill="1" applyBorder="1" applyAlignment="1">
      <alignment horizontal="center"/>
    </xf>
    <xf numFmtId="0" fontId="4" fillId="2" borderId="0" xfId="2" applyFont="1" applyFill="1" applyAlignment="1">
      <alignment horizontal="left"/>
    </xf>
    <xf numFmtId="0" fontId="6" fillId="2" borderId="0" xfId="2" applyFont="1" applyFill="1" applyAlignment="1">
      <alignment horizontal="center" wrapText="1"/>
    </xf>
    <xf numFmtId="0" fontId="38" fillId="2" borderId="0" xfId="2" applyFont="1" applyFill="1" applyAlignment="1">
      <alignment horizontal="center" vertical="center"/>
    </xf>
    <xf numFmtId="0" fontId="34" fillId="2" borderId="0" xfId="2" applyFont="1" applyFill="1" applyAlignment="1">
      <alignment horizontal="center"/>
    </xf>
    <xf numFmtId="0" fontId="5" fillId="2" borderId="0" xfId="2" applyFont="1" applyFill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7" fillId="5" borderId="23" xfId="2" applyFont="1" applyFill="1" applyBorder="1" applyAlignment="1">
      <alignment horizontal="center" vertical="center"/>
    </xf>
    <xf numFmtId="0" fontId="7" fillId="5" borderId="24" xfId="2" applyFont="1" applyFill="1" applyBorder="1" applyAlignment="1">
      <alignment horizontal="center" vertical="center"/>
    </xf>
    <xf numFmtId="0" fontId="7" fillId="5" borderId="20" xfId="2" applyFont="1" applyFill="1" applyBorder="1" applyAlignment="1">
      <alignment horizontal="center" vertical="center"/>
    </xf>
    <xf numFmtId="0" fontId="7" fillId="5" borderId="25" xfId="2" applyFont="1" applyFill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34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15" fillId="0" borderId="12" xfId="2" applyFont="1" applyBorder="1" applyAlignment="1">
      <alignment horizontal="center" vertical="center"/>
    </xf>
    <xf numFmtId="0" fontId="39" fillId="0" borderId="12" xfId="2" applyFont="1" applyBorder="1" applyAlignment="1">
      <alignment horizontal="center"/>
    </xf>
    <xf numFmtId="0" fontId="39" fillId="0" borderId="1" xfId="2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11" borderId="36" xfId="0" applyFill="1" applyBorder="1"/>
    <xf numFmtId="0" fontId="1" fillId="0" borderId="36" xfId="0" applyFont="1" applyBorder="1" applyAlignment="1">
      <alignment horizontal="center" vertical="center"/>
    </xf>
    <xf numFmtId="0" fontId="0" fillId="11" borderId="36" xfId="0" applyFill="1" applyBorder="1" applyAlignment="1">
      <alignment horizontal="center" vertical="center"/>
    </xf>
    <xf numFmtId="0" fontId="0" fillId="0" borderId="36" xfId="0" applyBorder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1" fontId="0" fillId="0" borderId="0" xfId="0" applyNumberFormat="1"/>
    <xf numFmtId="166" fontId="0" fillId="11" borderId="0" xfId="0" applyNumberFormat="1" applyFill="1" applyAlignment="1">
      <alignment horizontal="center" vertical="center"/>
    </xf>
    <xf numFmtId="2" fontId="0" fillId="11" borderId="0" xfId="0" applyNumberForma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2" fontId="0" fillId="11" borderId="0" xfId="0" applyNumberFormat="1" applyFill="1"/>
    <xf numFmtId="2" fontId="1" fillId="11" borderId="0" xfId="0" applyNumberFormat="1" applyFont="1" applyFill="1" applyAlignment="1">
      <alignment horizontal="center" vertical="center"/>
    </xf>
    <xf numFmtId="11" fontId="0" fillId="11" borderId="0" xfId="0" applyNumberFormat="1" applyFill="1"/>
    <xf numFmtId="11" fontId="1" fillId="0" borderId="0" xfId="0" applyNumberFormat="1" applyFont="1"/>
    <xf numFmtId="11" fontId="1" fillId="11" borderId="0" xfId="0" applyNumberFormat="1" applyFont="1" applyFill="1"/>
    <xf numFmtId="165" fontId="41" fillId="0" borderId="0" xfId="0" applyNumberFormat="1" applyFont="1" applyAlignment="1">
      <alignment horizontal="center"/>
    </xf>
    <xf numFmtId="0" fontId="41" fillId="11" borderId="0" xfId="0" applyFont="1" applyFill="1"/>
    <xf numFmtId="0" fontId="0" fillId="5" borderId="0" xfId="0" applyFill="1"/>
    <xf numFmtId="0" fontId="1" fillId="22" borderId="0" xfId="0" applyFont="1" applyFill="1"/>
    <xf numFmtId="0" fontId="1" fillId="3" borderId="0" xfId="0" applyFont="1" applyFill="1"/>
    <xf numFmtId="0" fontId="1" fillId="16" borderId="0" xfId="0" applyFont="1" applyFill="1"/>
    <xf numFmtId="2" fontId="1" fillId="16" borderId="0" xfId="0" applyNumberFormat="1" applyFont="1" applyFill="1" applyAlignment="1">
      <alignment horizontal="center"/>
    </xf>
    <xf numFmtId="0" fontId="0" fillId="4" borderId="0" xfId="0" applyFill="1"/>
    <xf numFmtId="0" fontId="42" fillId="4" borderId="0" xfId="0" applyFont="1" applyFill="1"/>
    <xf numFmtId="0" fontId="1" fillId="23" borderId="0" xfId="0" applyFont="1" applyFill="1"/>
    <xf numFmtId="0" fontId="0" fillId="23" borderId="0" xfId="0" applyFill="1"/>
    <xf numFmtId="0" fontId="0" fillId="22" borderId="0" xfId="0" applyFill="1"/>
    <xf numFmtId="0" fontId="0" fillId="16" borderId="0" xfId="0" applyFill="1"/>
    <xf numFmtId="0" fontId="0" fillId="2" borderId="0" xfId="0" applyFill="1"/>
    <xf numFmtId="2" fontId="1" fillId="23" borderId="0" xfId="0" applyNumberFormat="1" applyFont="1" applyFill="1" applyAlignment="1">
      <alignment horizontal="center"/>
    </xf>
    <xf numFmtId="2" fontId="0" fillId="23" borderId="0" xfId="0" applyNumberFormat="1" applyFill="1" applyAlignment="1">
      <alignment horizontal="center" vertical="center"/>
    </xf>
    <xf numFmtId="0" fontId="1" fillId="23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24" borderId="0" xfId="0" applyFont="1" applyFill="1"/>
    <xf numFmtId="2" fontId="0" fillId="24" borderId="0" xfId="0" applyNumberFormat="1" applyFill="1" applyAlignment="1">
      <alignment horizontal="center" vertical="center"/>
    </xf>
    <xf numFmtId="0" fontId="0" fillId="24" borderId="0" xfId="0" applyFill="1"/>
    <xf numFmtId="2" fontId="0" fillId="24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0" fontId="42" fillId="4" borderId="0" xfId="0" applyFont="1" applyFill="1" applyAlignment="1">
      <alignment horizontal="center" vertical="center"/>
    </xf>
    <xf numFmtId="0" fontId="7" fillId="21" borderId="0" xfId="2" applyFont="1" applyFill="1" applyAlignment="1">
      <alignment horizontal="center"/>
    </xf>
    <xf numFmtId="0" fontId="7" fillId="25" borderId="0" xfId="2" applyFont="1" applyFill="1" applyAlignment="1">
      <alignment horizontal="center" vertical="center"/>
    </xf>
    <xf numFmtId="166" fontId="9" fillId="0" borderId="72" xfId="2" applyNumberFormat="1" applyFont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0" fontId="43" fillId="2" borderId="0" xfId="0" applyFont="1" applyFill="1"/>
    <xf numFmtId="2" fontId="0" fillId="0" borderId="0" xfId="0" applyNumberFormat="1"/>
    <xf numFmtId="0" fontId="0" fillId="0" borderId="39" xfId="0" applyBorder="1"/>
    <xf numFmtId="0" fontId="0" fillId="0" borderId="45" xfId="0" applyBorder="1"/>
    <xf numFmtId="0" fontId="0" fillId="0" borderId="0" xfId="0" applyAlignment="1">
      <alignment horizontal="right"/>
    </xf>
    <xf numFmtId="0" fontId="0" fillId="0" borderId="40" xfId="0" applyBorder="1"/>
    <xf numFmtId="0" fontId="0" fillId="0" borderId="47" xfId="0" applyBorder="1"/>
    <xf numFmtId="0" fontId="0" fillId="0" borderId="1" xfId="0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44" fillId="4" borderId="0" xfId="0" applyFont="1" applyFill="1"/>
    <xf numFmtId="0" fontId="45" fillId="23" borderId="0" xfId="0" applyFont="1" applyFill="1"/>
    <xf numFmtId="0" fontId="42" fillId="0" borderId="0" xfId="0" applyFont="1"/>
    <xf numFmtId="0" fontId="0" fillId="0" borderId="54" xfId="0" applyBorder="1"/>
    <xf numFmtId="0" fontId="1" fillId="0" borderId="17" xfId="0" applyFont="1" applyBorder="1"/>
    <xf numFmtId="0" fontId="0" fillId="0" borderId="19" xfId="0" applyBorder="1"/>
    <xf numFmtId="0" fontId="0" fillId="0" borderId="49" xfId="0" applyBorder="1"/>
    <xf numFmtId="0" fontId="0" fillId="0" borderId="55" xfId="0" applyBorder="1"/>
    <xf numFmtId="0" fontId="0" fillId="0" borderId="68" xfId="0" applyBorder="1"/>
    <xf numFmtId="0" fontId="0" fillId="0" borderId="70" xfId="0" applyBorder="1"/>
    <xf numFmtId="167" fontId="0" fillId="0" borderId="6" xfId="0" applyNumberFormat="1" applyBorder="1"/>
    <xf numFmtId="0" fontId="1" fillId="2" borderId="42" xfId="0" applyFont="1" applyFill="1" applyBorder="1"/>
    <xf numFmtId="0" fontId="0" fillId="2" borderId="43" xfId="0" applyFill="1" applyBorder="1"/>
    <xf numFmtId="0" fontId="0" fillId="2" borderId="44" xfId="0" applyFill="1" applyBorder="1"/>
    <xf numFmtId="0" fontId="1" fillId="0" borderId="15" xfId="0" applyFont="1" applyBorder="1"/>
    <xf numFmtId="0" fontId="1" fillId="0" borderId="13" xfId="0" applyFont="1" applyBorder="1"/>
    <xf numFmtId="0" fontId="1" fillId="0" borderId="13" xfId="0" quotePrefix="1" applyFont="1" applyBorder="1"/>
    <xf numFmtId="0" fontId="1" fillId="0" borderId="78" xfId="0" applyFont="1" applyBorder="1"/>
    <xf numFmtId="0" fontId="0" fillId="0" borderId="10" xfId="0" applyBorder="1"/>
    <xf numFmtId="0" fontId="0" fillId="0" borderId="11" xfId="0" applyBorder="1"/>
    <xf numFmtId="0" fontId="46" fillId="26" borderId="4" xfId="0" applyFont="1" applyFill="1" applyBorder="1"/>
    <xf numFmtId="167" fontId="46" fillId="26" borderId="6" xfId="0" applyNumberFormat="1" applyFont="1" applyFill="1" applyBorder="1"/>
    <xf numFmtId="0" fontId="0" fillId="0" borderId="18" xfId="0" applyBorder="1"/>
    <xf numFmtId="0" fontId="0" fillId="0" borderId="8" xfId="0" applyBorder="1"/>
    <xf numFmtId="0" fontId="0" fillId="0" borderId="9" xfId="0" applyBorder="1"/>
    <xf numFmtId="0" fontId="0" fillId="0" borderId="59" xfId="0" applyBorder="1"/>
    <xf numFmtId="0" fontId="1" fillId="0" borderId="34" xfId="0" applyFont="1" applyBorder="1"/>
    <xf numFmtId="0" fontId="1" fillId="0" borderId="67" xfId="0" applyFont="1" applyBorder="1"/>
    <xf numFmtId="0" fontId="1" fillId="0" borderId="70" xfId="0" applyFont="1" applyBorder="1"/>
    <xf numFmtId="0" fontId="0" fillId="0" borderId="29" xfId="0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6" borderId="0" xfId="0" applyFont="1" applyFill="1"/>
    <xf numFmtId="164" fontId="0" fillId="0" borderId="0" xfId="0" applyNumberFormat="1" applyAlignment="1">
      <alignment horizontal="center" vertical="center"/>
    </xf>
    <xf numFmtId="165" fontId="47" fillId="0" borderId="0" xfId="0" applyNumberFormat="1" applyFont="1" applyAlignment="1">
      <alignment horizontal="center" vertical="center"/>
    </xf>
    <xf numFmtId="0" fontId="0" fillId="23" borderId="0" xfId="0" applyFill="1" applyAlignment="1">
      <alignment horizontal="center" vertical="center"/>
    </xf>
    <xf numFmtId="167" fontId="0" fillId="0" borderId="45" xfId="0" applyNumberFormat="1" applyBorder="1"/>
    <xf numFmtId="0" fontId="39" fillId="0" borderId="0" xfId="2" applyFont="1" applyAlignment="1">
      <alignment horizontal="center"/>
    </xf>
    <xf numFmtId="166" fontId="4" fillId="0" borderId="19" xfId="2" applyNumberFormat="1" applyFont="1" applyBorder="1" applyAlignment="1">
      <alignment horizontal="center"/>
    </xf>
    <xf numFmtId="0" fontId="7" fillId="21" borderId="6" xfId="2" applyFont="1" applyFill="1" applyBorder="1" applyAlignment="1">
      <alignment horizontal="center" vertical="center"/>
    </xf>
    <xf numFmtId="0" fontId="7" fillId="21" borderId="34" xfId="2" applyFont="1" applyFill="1" applyBorder="1" applyAlignment="1">
      <alignment horizontal="center" vertical="center"/>
    </xf>
    <xf numFmtId="0" fontId="7" fillId="21" borderId="20" xfId="2" applyFont="1" applyFill="1" applyBorder="1" applyAlignment="1">
      <alignment horizontal="center" vertical="center"/>
    </xf>
    <xf numFmtId="0" fontId="0" fillId="21" borderId="0" xfId="0" applyFill="1"/>
    <xf numFmtId="165" fontId="41" fillId="0" borderId="0" xfId="0" applyNumberFormat="1" applyFont="1" applyAlignment="1">
      <alignment horizontal="center" vertical="center"/>
    </xf>
    <xf numFmtId="165" fontId="4" fillId="0" borderId="11" xfId="2" applyNumberFormat="1" applyFont="1" applyBorder="1" applyAlignment="1">
      <alignment horizontal="center"/>
    </xf>
    <xf numFmtId="2" fontId="4" fillId="0" borderId="39" xfId="2" applyNumberFormat="1" applyFont="1" applyBorder="1" applyAlignment="1">
      <alignment horizontal="center" vertical="center"/>
    </xf>
    <xf numFmtId="2" fontId="4" fillId="0" borderId="45" xfId="2" applyNumberFormat="1" applyFont="1" applyBorder="1" applyAlignment="1">
      <alignment horizontal="center" vertical="center"/>
    </xf>
    <xf numFmtId="2" fontId="5" fillId="0" borderId="39" xfId="2" applyNumberFormat="1" applyFont="1" applyBorder="1" applyAlignment="1">
      <alignment horizontal="center" vertical="center"/>
    </xf>
    <xf numFmtId="2" fontId="5" fillId="0" borderId="45" xfId="2" applyNumberFormat="1" applyFont="1" applyBorder="1" applyAlignment="1">
      <alignment horizontal="center" vertical="center"/>
    </xf>
    <xf numFmtId="0" fontId="4" fillId="0" borderId="46" xfId="2" applyFont="1" applyBorder="1" applyAlignment="1">
      <alignment horizontal="center"/>
    </xf>
    <xf numFmtId="0" fontId="4" fillId="0" borderId="47" xfId="2" applyFont="1" applyBorder="1" applyAlignment="1">
      <alignment horizontal="center"/>
    </xf>
    <xf numFmtId="0" fontId="34" fillId="0" borderId="0" xfId="2" applyFont="1" applyAlignment="1">
      <alignment horizontal="center" vertical="center"/>
    </xf>
    <xf numFmtId="0" fontId="34" fillId="2" borderId="0" xfId="2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5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0" fontId="4" fillId="0" borderId="40" xfId="2" applyFont="1" applyBorder="1" applyAlignment="1">
      <alignment horizontal="center"/>
    </xf>
    <xf numFmtId="0" fontId="5" fillId="0" borderId="42" xfId="2" applyFont="1" applyBorder="1" applyAlignment="1">
      <alignment horizontal="center"/>
    </xf>
    <xf numFmtId="0" fontId="5" fillId="0" borderId="44" xfId="2" applyFont="1" applyBorder="1" applyAlignment="1">
      <alignment horizontal="center"/>
    </xf>
    <xf numFmtId="0" fontId="5" fillId="0" borderId="43" xfId="2" applyFont="1" applyBorder="1" applyAlignment="1">
      <alignment horizontal="center"/>
    </xf>
    <xf numFmtId="0" fontId="5" fillId="0" borderId="39" xfId="2" applyFont="1" applyBorder="1" applyAlignment="1">
      <alignment horizontal="center"/>
    </xf>
    <xf numFmtId="0" fontId="5" fillId="0" borderId="45" xfId="2" applyFont="1" applyBorder="1" applyAlignment="1">
      <alignment horizontal="center"/>
    </xf>
    <xf numFmtId="0" fontId="41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41" fillId="0" borderId="4" xfId="0" applyNumberFormat="1" applyFont="1" applyBorder="1" applyAlignment="1">
      <alignment horizontal="center" vertical="center"/>
    </xf>
    <xf numFmtId="165" fontId="48" fillId="0" borderId="5" xfId="0" applyNumberFormat="1" applyFont="1" applyBorder="1" applyAlignment="1">
      <alignment horizontal="center" vertical="center"/>
    </xf>
    <xf numFmtId="165" fontId="48" fillId="0" borderId="6" xfId="0" applyNumberFormat="1" applyFont="1" applyBorder="1" applyAlignment="1">
      <alignment horizontal="center" vertical="center"/>
    </xf>
    <xf numFmtId="165" fontId="0" fillId="3" borderId="0" xfId="0" applyNumberFormat="1" applyFill="1"/>
    <xf numFmtId="165" fontId="1" fillId="3" borderId="0" xfId="0" applyNumberFormat="1" applyFont="1" applyFill="1"/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5" fillId="12" borderId="20" xfId="2" applyFont="1" applyFill="1" applyBorder="1" applyAlignment="1">
      <alignment horizontal="center" vertical="center"/>
    </xf>
    <xf numFmtId="0" fontId="5" fillId="12" borderId="13" xfId="2" applyFont="1" applyFill="1" applyBorder="1" applyAlignment="1">
      <alignment horizontal="center" vertical="center"/>
    </xf>
    <xf numFmtId="0" fontId="5" fillId="12" borderId="21" xfId="2" applyFont="1" applyFill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11" fillId="17" borderId="12" xfId="2" applyFont="1" applyFill="1" applyBorder="1" applyAlignment="1">
      <alignment horizontal="center" vertical="center" wrapText="1"/>
    </xf>
    <xf numFmtId="0" fontId="11" fillId="17" borderId="13" xfId="2" applyFont="1" applyFill="1" applyBorder="1" applyAlignment="1">
      <alignment horizontal="center" vertical="center"/>
    </xf>
    <xf numFmtId="0" fontId="11" fillId="17" borderId="8" xfId="2" applyFont="1" applyFill="1" applyBorder="1" applyAlignment="1">
      <alignment horizontal="center" vertical="center"/>
    </xf>
    <xf numFmtId="0" fontId="9" fillId="17" borderId="77" xfId="2" applyFont="1" applyFill="1" applyBorder="1" applyAlignment="1">
      <alignment horizontal="center" vertical="center"/>
    </xf>
    <xf numFmtId="0" fontId="9" fillId="17" borderId="78" xfId="2" applyFont="1" applyFill="1" applyBorder="1" applyAlignment="1">
      <alignment horizontal="center" vertical="center"/>
    </xf>
    <xf numFmtId="0" fontId="9" fillId="17" borderId="9" xfId="2" applyFont="1" applyFill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9" fillId="0" borderId="33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 wrapText="1"/>
    </xf>
    <xf numFmtId="0" fontId="11" fillId="0" borderId="13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4" fillId="0" borderId="27" xfId="2" applyFont="1" applyBorder="1" applyAlignment="1">
      <alignment horizontal="center" vertical="center"/>
    </xf>
    <xf numFmtId="0" fontId="4" fillId="0" borderId="30" xfId="2" applyFont="1" applyBorder="1" applyAlignment="1">
      <alignment horizontal="center" vertical="center"/>
    </xf>
    <xf numFmtId="0" fontId="4" fillId="0" borderId="28" xfId="2" applyFont="1" applyBorder="1" applyAlignment="1">
      <alignment horizontal="center" vertical="center"/>
    </xf>
    <xf numFmtId="0" fontId="9" fillId="0" borderId="27" xfId="2" applyFont="1" applyBorder="1" applyAlignment="1">
      <alignment horizontal="center" vertical="center"/>
    </xf>
    <xf numFmtId="0" fontId="9" fillId="0" borderId="30" xfId="2" applyFont="1" applyBorder="1" applyAlignment="1">
      <alignment horizontal="center" vertical="center"/>
    </xf>
    <xf numFmtId="0" fontId="9" fillId="0" borderId="28" xfId="2" applyFont="1" applyBorder="1" applyAlignment="1">
      <alignment horizontal="center" vertical="center"/>
    </xf>
    <xf numFmtId="0" fontId="11" fillId="12" borderId="12" xfId="2" applyFont="1" applyFill="1" applyBorder="1" applyAlignment="1">
      <alignment horizontal="center" vertical="center" wrapText="1"/>
    </xf>
    <xf numFmtId="0" fontId="11" fillId="12" borderId="13" xfId="2" applyFont="1" applyFill="1" applyBorder="1" applyAlignment="1">
      <alignment horizontal="center" vertical="center"/>
    </xf>
    <xf numFmtId="0" fontId="11" fillId="12" borderId="8" xfId="2" applyFont="1" applyFill="1" applyBorder="1" applyAlignment="1">
      <alignment horizontal="center" vertical="center"/>
    </xf>
    <xf numFmtId="0" fontId="11" fillId="12" borderId="13" xfId="2" applyFont="1" applyFill="1" applyBorder="1" applyAlignment="1">
      <alignment horizontal="center" vertical="center" wrapText="1"/>
    </xf>
    <xf numFmtId="0" fontId="8" fillId="0" borderId="10" xfId="2" applyFont="1" applyBorder="1" applyAlignment="1">
      <alignment horizontal="left" vertical="center"/>
    </xf>
    <xf numFmtId="0" fontId="8" fillId="0" borderId="14" xfId="2" applyFont="1" applyBorder="1" applyAlignment="1">
      <alignment horizontal="left" vertical="center"/>
    </xf>
    <xf numFmtId="0" fontId="8" fillId="0" borderId="15" xfId="2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11" fillId="0" borderId="12" xfId="2" applyFont="1" applyBorder="1" applyAlignment="1">
      <alignment horizontal="center" vertical="center"/>
    </xf>
    <xf numFmtId="0" fontId="2" fillId="0" borderId="0" xfId="2" applyFont="1" applyAlignment="1">
      <alignment horizontal="center"/>
    </xf>
    <xf numFmtId="0" fontId="37" fillId="17" borderId="0" xfId="2" applyFont="1" applyFill="1" applyAlignment="1">
      <alignment horizontal="center"/>
    </xf>
    <xf numFmtId="0" fontId="5" fillId="27" borderId="0" xfId="2" applyFont="1" applyFill="1" applyAlignment="1">
      <alignment horizontal="center" vertical="center"/>
    </xf>
    <xf numFmtId="0" fontId="33" fillId="14" borderId="0" xfId="2" applyFont="1" applyFill="1" applyAlignment="1">
      <alignment horizontal="center"/>
    </xf>
    <xf numFmtId="0" fontId="34" fillId="0" borderId="0" xfId="2" applyFont="1" applyAlignment="1">
      <alignment horizontal="center" vertical="center"/>
    </xf>
    <xf numFmtId="0" fontId="19" fillId="0" borderId="56" xfId="1" applyFont="1" applyBorder="1" applyAlignment="1">
      <alignment horizontal="center" vertical="center" wrapText="1"/>
    </xf>
    <xf numFmtId="0" fontId="19" fillId="0" borderId="57" xfId="1" applyFont="1" applyBorder="1" applyAlignment="1">
      <alignment horizontal="center" vertical="center" wrapText="1"/>
    </xf>
    <xf numFmtId="0" fontId="19" fillId="0" borderId="4" xfId="1" applyFont="1" applyBorder="1" applyAlignment="1">
      <alignment horizontal="center" vertical="center"/>
    </xf>
    <xf numFmtId="0" fontId="19" fillId="0" borderId="75" xfId="1" applyFont="1" applyBorder="1" applyAlignment="1">
      <alignment horizontal="center" vertical="center"/>
    </xf>
    <xf numFmtId="0" fontId="19" fillId="0" borderId="5" xfId="1" applyFont="1" applyBorder="1" applyAlignment="1">
      <alignment horizontal="center" vertical="center"/>
    </xf>
    <xf numFmtId="0" fontId="19" fillId="0" borderId="6" xfId="1" applyFont="1" applyBorder="1" applyAlignment="1">
      <alignment horizontal="center" vertical="center"/>
    </xf>
    <xf numFmtId="0" fontId="19" fillId="0" borderId="42" xfId="1" applyFont="1" applyBorder="1" applyAlignment="1">
      <alignment horizontal="center" vertical="center"/>
    </xf>
    <xf numFmtId="0" fontId="19" fillId="0" borderId="43" xfId="1" applyFont="1" applyBorder="1" applyAlignment="1">
      <alignment horizontal="center" vertical="center"/>
    </xf>
    <xf numFmtId="0" fontId="19" fillId="0" borderId="44" xfId="1" applyFont="1" applyBorder="1" applyAlignment="1">
      <alignment horizontal="center" vertical="center"/>
    </xf>
    <xf numFmtId="0" fontId="19" fillId="0" borderId="56" xfId="1" applyFont="1" applyBorder="1" applyAlignment="1">
      <alignment horizontal="center" vertical="center"/>
    </xf>
    <xf numFmtId="0" fontId="19" fillId="0" borderId="57" xfId="1" applyFont="1" applyBorder="1" applyAlignment="1">
      <alignment horizontal="center" vertical="center"/>
    </xf>
    <xf numFmtId="0" fontId="19" fillId="12" borderId="56" xfId="1" applyFont="1" applyFill="1" applyBorder="1" applyAlignment="1">
      <alignment horizontal="center" vertical="center" wrapText="1"/>
    </xf>
    <xf numFmtId="0" fontId="19" fillId="12" borderId="57" xfId="1" applyFont="1" applyFill="1" applyBorder="1" applyAlignment="1">
      <alignment horizontal="center" vertical="center"/>
    </xf>
    <xf numFmtId="0" fontId="19" fillId="12" borderId="58" xfId="1" applyFont="1" applyFill="1" applyBorder="1" applyAlignment="1">
      <alignment horizontal="center" vertical="center"/>
    </xf>
    <xf numFmtId="0" fontId="19" fillId="12" borderId="36" xfId="1" applyFont="1" applyFill="1" applyBorder="1" applyAlignment="1">
      <alignment horizontal="center" vertical="center"/>
    </xf>
    <xf numFmtId="0" fontId="19" fillId="12" borderId="38" xfId="1" applyFont="1" applyFill="1" applyBorder="1" applyAlignment="1">
      <alignment horizontal="center" vertical="center"/>
    </xf>
    <xf numFmtId="0" fontId="19" fillId="0" borderId="45" xfId="1" applyFont="1" applyBorder="1" applyAlignment="1">
      <alignment horizontal="center" vertical="center" wrapText="1"/>
    </xf>
    <xf numFmtId="0" fontId="19" fillId="0" borderId="60" xfId="1" applyFont="1" applyBorder="1" applyAlignment="1">
      <alignment horizontal="center" vertical="center" wrapText="1"/>
    </xf>
    <xf numFmtId="0" fontId="19" fillId="0" borderId="80" xfId="1" applyFont="1" applyBorder="1" applyAlignment="1">
      <alignment horizontal="center" vertical="center" wrapText="1"/>
    </xf>
    <xf numFmtId="0" fontId="19" fillId="0" borderId="24" xfId="1" applyFont="1" applyBorder="1" applyAlignment="1">
      <alignment horizontal="center" vertical="center"/>
    </xf>
    <xf numFmtId="0" fontId="19" fillId="0" borderId="25" xfId="1" applyFont="1" applyBorder="1" applyAlignment="1">
      <alignment horizontal="center" vertical="center"/>
    </xf>
    <xf numFmtId="0" fontId="19" fillId="0" borderId="26" xfId="1" applyFont="1" applyBorder="1" applyAlignment="1">
      <alignment horizontal="center" vertical="center"/>
    </xf>
    <xf numFmtId="0" fontId="19" fillId="0" borderId="50" xfId="1" applyFont="1" applyBorder="1" applyAlignment="1">
      <alignment horizontal="center" vertical="center" wrapText="1"/>
    </xf>
    <xf numFmtId="0" fontId="19" fillId="0" borderId="22" xfId="1" applyFont="1" applyBorder="1" applyAlignment="1">
      <alignment horizontal="center" vertical="center" wrapText="1"/>
    </xf>
    <xf numFmtId="0" fontId="19" fillId="0" borderId="68" xfId="1" applyFont="1" applyBorder="1" applyAlignment="1">
      <alignment horizontal="center" vertical="center" wrapText="1"/>
    </xf>
    <xf numFmtId="0" fontId="19" fillId="0" borderId="69" xfId="1" applyFont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36" xfId="1" applyFont="1" applyBorder="1" applyAlignment="1">
      <alignment horizontal="center" vertical="center"/>
    </xf>
    <xf numFmtId="0" fontId="19" fillId="0" borderId="38" xfId="1" applyFont="1" applyBorder="1" applyAlignment="1">
      <alignment horizontal="center" vertical="center"/>
    </xf>
    <xf numFmtId="0" fontId="19" fillId="15" borderId="51" xfId="1" applyFont="1" applyFill="1" applyBorder="1" applyAlignment="1">
      <alignment horizontal="center" vertical="center" wrapText="1"/>
    </xf>
    <xf numFmtId="0" fontId="19" fillId="15" borderId="48" xfId="1" applyFont="1" applyFill="1" applyBorder="1" applyAlignment="1">
      <alignment horizontal="center" vertical="center"/>
    </xf>
    <xf numFmtId="0" fontId="19" fillId="15" borderId="52" xfId="1" applyFont="1" applyFill="1" applyBorder="1" applyAlignment="1">
      <alignment horizontal="center" vertical="center"/>
    </xf>
    <xf numFmtId="0" fontId="19" fillId="0" borderId="54" xfId="1" applyFont="1" applyBorder="1" applyAlignment="1">
      <alignment horizontal="center" vertical="center"/>
    </xf>
    <xf numFmtId="0" fontId="19" fillId="0" borderId="48" xfId="1" applyFont="1" applyBorder="1" applyAlignment="1">
      <alignment horizontal="center" vertical="center"/>
    </xf>
    <xf numFmtId="0" fontId="19" fillId="0" borderId="52" xfId="1" applyFont="1" applyBorder="1" applyAlignment="1">
      <alignment horizontal="center" vertical="center"/>
    </xf>
    <xf numFmtId="0" fontId="19" fillId="0" borderId="50" xfId="1" applyFont="1" applyBorder="1" applyAlignment="1">
      <alignment horizontal="center" vertical="center"/>
    </xf>
    <xf numFmtId="0" fontId="19" fillId="0" borderId="60" xfId="1" applyFont="1" applyBorder="1" applyAlignment="1">
      <alignment horizontal="center" vertical="center"/>
    </xf>
    <xf numFmtId="0" fontId="19" fillId="0" borderId="63" xfId="1" applyFont="1" applyBorder="1" applyAlignment="1">
      <alignment horizontal="center" vertical="center"/>
    </xf>
    <xf numFmtId="0" fontId="19" fillId="0" borderId="51" xfId="1" applyFont="1" applyBorder="1" applyAlignment="1">
      <alignment horizontal="center" vertical="center"/>
    </xf>
    <xf numFmtId="0" fontId="19" fillId="0" borderId="49" xfId="1" applyFont="1" applyBorder="1" applyAlignment="1">
      <alignment horizontal="center" vertical="center"/>
    </xf>
    <xf numFmtId="0" fontId="19" fillId="0" borderId="35" xfId="1" applyFont="1" applyBorder="1" applyAlignment="1">
      <alignment horizontal="center" vertical="center" wrapText="1"/>
    </xf>
    <xf numFmtId="0" fontId="19" fillId="0" borderId="38" xfId="1" applyFont="1" applyBorder="1" applyAlignment="1">
      <alignment horizontal="center" vertical="center" wrapText="1"/>
    </xf>
    <xf numFmtId="0" fontId="19" fillId="0" borderId="23" xfId="1" applyFont="1" applyBorder="1" applyAlignment="1">
      <alignment horizontal="center" vertical="center" wrapText="1"/>
    </xf>
    <xf numFmtId="0" fontId="19" fillId="14" borderId="23" xfId="1" applyFont="1" applyFill="1" applyBorder="1" applyAlignment="1">
      <alignment horizontal="center" vertical="center"/>
    </xf>
    <xf numFmtId="0" fontId="19" fillId="14" borderId="25" xfId="1" applyFont="1" applyFill="1" applyBorder="1" applyAlignment="1">
      <alignment horizontal="center" vertical="center"/>
    </xf>
    <xf numFmtId="0" fontId="19" fillId="0" borderId="42" xfId="1" applyFont="1" applyBorder="1" applyAlignment="1">
      <alignment horizontal="center" vertical="center" wrapText="1"/>
    </xf>
    <xf numFmtId="0" fontId="19" fillId="0" borderId="39" xfId="1" applyFont="1" applyBorder="1" applyAlignment="1">
      <alignment horizontal="center" vertical="center" wrapText="1"/>
    </xf>
    <xf numFmtId="0" fontId="19" fillId="8" borderId="46" xfId="1" applyFont="1" applyFill="1" applyBorder="1" applyAlignment="1">
      <alignment horizontal="center" vertical="center"/>
    </xf>
    <xf numFmtId="0" fontId="19" fillId="8" borderId="40" xfId="1" applyFont="1" applyFill="1" applyBorder="1" applyAlignment="1">
      <alignment horizontal="center" vertical="center"/>
    </xf>
    <xf numFmtId="16" fontId="19" fillId="0" borderId="42" xfId="1" applyNumberFormat="1" applyFont="1" applyBorder="1" applyAlignment="1">
      <alignment horizontal="center" vertical="center" wrapText="1"/>
    </xf>
    <xf numFmtId="16" fontId="19" fillId="0" borderId="39" xfId="1" applyNumberFormat="1" applyFont="1" applyBorder="1" applyAlignment="1">
      <alignment horizontal="center" vertical="center" wrapText="1"/>
    </xf>
    <xf numFmtId="0" fontId="19" fillId="0" borderId="23" xfId="1" applyFont="1" applyBorder="1" applyAlignment="1">
      <alignment horizontal="center" vertical="center"/>
    </xf>
    <xf numFmtId="0" fontId="19" fillId="0" borderId="20" xfId="1" applyFont="1" applyBorder="1" applyAlignment="1">
      <alignment horizontal="center" vertical="center"/>
    </xf>
    <xf numFmtId="0" fontId="19" fillId="4" borderId="46" xfId="1" applyFont="1" applyFill="1" applyBorder="1" applyAlignment="1">
      <alignment horizontal="center" vertical="center"/>
    </xf>
    <xf numFmtId="0" fontId="19" fillId="4" borderId="36" xfId="1" applyFont="1" applyFill="1" applyBorder="1" applyAlignment="1">
      <alignment horizontal="center" vertical="center"/>
    </xf>
    <xf numFmtId="0" fontId="19" fillId="5" borderId="35" xfId="1" applyFont="1" applyFill="1" applyBorder="1" applyAlignment="1">
      <alignment horizontal="center" vertical="center"/>
    </xf>
    <xf numFmtId="0" fontId="19" fillId="5" borderId="36" xfId="1" applyFont="1" applyFill="1" applyBorder="1" applyAlignment="1">
      <alignment horizontal="center" vertical="center"/>
    </xf>
    <xf numFmtId="0" fontId="19" fillId="5" borderId="38" xfId="1" applyFont="1" applyFill="1" applyBorder="1" applyAlignment="1">
      <alignment horizontal="center" vertical="center"/>
    </xf>
    <xf numFmtId="0" fontId="19" fillId="6" borderId="36" xfId="1" applyFont="1" applyFill="1" applyBorder="1" applyAlignment="1">
      <alignment horizontal="center" vertical="center"/>
    </xf>
    <xf numFmtId="0" fontId="19" fillId="7" borderId="35" xfId="1" applyFont="1" applyFill="1" applyBorder="1" applyAlignment="1">
      <alignment horizontal="center" vertical="center"/>
    </xf>
    <xf numFmtId="0" fontId="19" fillId="7" borderId="36" xfId="1" applyFont="1" applyFill="1" applyBorder="1" applyAlignment="1">
      <alignment horizontal="center" vertical="center"/>
    </xf>
    <xf numFmtId="0" fontId="19" fillId="0" borderId="43" xfId="1" applyFont="1" applyBorder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0" fontId="19" fillId="0" borderId="54" xfId="1" applyFont="1" applyBorder="1" applyAlignment="1">
      <alignment horizontal="center" vertical="center" wrapText="1"/>
    </xf>
    <xf numFmtId="0" fontId="19" fillId="0" borderId="49" xfId="1" applyFont="1" applyBorder="1" applyAlignment="1">
      <alignment horizontal="center" vertical="center" wrapText="1"/>
    </xf>
    <xf numFmtId="0" fontId="19" fillId="0" borderId="35" xfId="1" applyFont="1" applyBorder="1" applyAlignment="1">
      <alignment horizontal="left"/>
    </xf>
    <xf numFmtId="0" fontId="19" fillId="0" borderId="36" xfId="1" applyFont="1" applyBorder="1" applyAlignment="1">
      <alignment horizontal="left"/>
    </xf>
    <xf numFmtId="0" fontId="19" fillId="0" borderId="38" xfId="1" applyFont="1" applyBorder="1" applyAlignment="1">
      <alignment horizontal="left"/>
    </xf>
    <xf numFmtId="0" fontId="19" fillId="12" borderId="0" xfId="1" applyFont="1" applyFill="1" applyAlignment="1">
      <alignment horizontal="center"/>
    </xf>
    <xf numFmtId="0" fontId="19" fillId="0" borderId="0" xfId="1" applyFont="1" applyAlignment="1">
      <alignment horizontal="center"/>
    </xf>
    <xf numFmtId="0" fontId="18" fillId="0" borderId="56" xfId="1" applyFont="1" applyBorder="1" applyAlignment="1">
      <alignment horizontal="center" vertical="center"/>
    </xf>
    <xf numFmtId="0" fontId="18" fillId="0" borderId="57" xfId="1" applyFont="1" applyBorder="1" applyAlignment="1">
      <alignment horizontal="center" vertical="center"/>
    </xf>
    <xf numFmtId="0" fontId="18" fillId="0" borderId="58" xfId="1" applyFont="1" applyBorder="1" applyAlignment="1">
      <alignment horizontal="center" vertical="center"/>
    </xf>
    <xf numFmtId="0" fontId="20" fillId="13" borderId="39" xfId="1" applyFont="1" applyFill="1" applyBorder="1" applyAlignment="1">
      <alignment horizontal="center" vertical="center"/>
    </xf>
    <xf numFmtId="0" fontId="20" fillId="13" borderId="0" xfId="1" applyFont="1" applyFill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" fontId="0" fillId="24" borderId="0" xfId="0" applyNumberFormat="1" applyFill="1" applyAlignment="1">
      <alignment horizontal="center" vertical="center"/>
    </xf>
    <xf numFmtId="166" fontId="29" fillId="14" borderId="16" xfId="2" applyNumberFormat="1" applyFont="1" applyFill="1" applyBorder="1" applyAlignment="1">
      <alignment horizontal="center"/>
    </xf>
    <xf numFmtId="164" fontId="9" fillId="28" borderId="16" xfId="2" applyNumberFormat="1" applyFont="1" applyFill="1" applyBorder="1" applyAlignment="1">
      <alignment horizontal="center"/>
    </xf>
    <xf numFmtId="0" fontId="9" fillId="28" borderId="16" xfId="2" applyFont="1" applyFill="1" applyBorder="1" applyAlignment="1">
      <alignment horizontal="center"/>
    </xf>
    <xf numFmtId="164" fontId="6" fillId="28" borderId="16" xfId="2" applyNumberFormat="1" applyFont="1" applyFill="1" applyBorder="1" applyAlignment="1">
      <alignment horizontal="center"/>
    </xf>
    <xf numFmtId="164" fontId="9" fillId="0" borderId="72" xfId="2" applyNumberFormat="1" applyFont="1" applyBorder="1" applyAlignment="1">
      <alignment horizontal="center" vertical="center"/>
    </xf>
    <xf numFmtId="0" fontId="9" fillId="2" borderId="16" xfId="2" applyFont="1" applyFill="1" applyBorder="1" applyAlignment="1">
      <alignment horizontal="center" vertical="center"/>
    </xf>
    <xf numFmtId="0" fontId="9" fillId="0" borderId="16" xfId="2" applyFont="1" applyFill="1" applyBorder="1" applyAlignment="1">
      <alignment horizontal="center"/>
    </xf>
  </cellXfs>
  <cellStyles count="3">
    <cellStyle name="Normal" xfId="0" builtinId="0"/>
    <cellStyle name="Normal 2" xfId="2" xr:uid="{D517E60C-4C17-4E66-9FA5-EA08CA629E08}"/>
    <cellStyle name="Normal 3" xfId="1" xr:uid="{D8E85A78-EDBD-48AD-9C93-4B088D8D40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Cracking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95109832384658"/>
          <c:y val="0.12003236245954693"/>
          <c:w val="0.74568653228236315"/>
          <c:h val="0.73005402237341688"/>
        </c:manualLayout>
      </c:layout>
      <c:scatterChart>
        <c:scatterStyle val="smoothMarker"/>
        <c:varyColors val="0"/>
        <c:ser>
          <c:idx val="0"/>
          <c:order val="0"/>
          <c:tx>
            <c:v>TOP MEBU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'Master Template'!$D$6:$N$6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Template'!$D$95:$N$95</c:f>
              <c:numCache>
                <c:formatCode>0.00</c:formatCode>
                <c:ptCount val="11"/>
                <c:pt idx="1">
                  <c:v>78.594386895265501</c:v>
                </c:pt>
                <c:pt idx="2">
                  <c:v>73.236785544171013</c:v>
                </c:pt>
                <c:pt idx="3">
                  <c:v>74.908747771956087</c:v>
                </c:pt>
                <c:pt idx="4">
                  <c:v>74.092551353162136</c:v>
                </c:pt>
                <c:pt idx="5">
                  <c:v>72.566318315525209</c:v>
                </c:pt>
                <c:pt idx="6">
                  <c:v>73.359196718061781</c:v>
                </c:pt>
                <c:pt idx="7">
                  <c:v>74.557367554554332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71-4D5C-9AC9-2BD8B3EA64CA}"/>
            </c:ext>
          </c:extLst>
        </c:ser>
        <c:ser>
          <c:idx val="1"/>
          <c:order val="1"/>
          <c:tx>
            <c:v>ART Reference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'Master Template'!$D$6:$J$6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'Master Template'!$D$96:$J$96</c:f>
              <c:numCache>
                <c:formatCode>0.00</c:formatCode>
                <c:ptCount val="7"/>
                <c:pt idx="1">
                  <c:v>77.2</c:v>
                </c:pt>
                <c:pt idx="2">
                  <c:v>76.8</c:v>
                </c:pt>
                <c:pt idx="3">
                  <c:v>75.5</c:v>
                </c:pt>
                <c:pt idx="4">
                  <c:v>73.8</c:v>
                </c:pt>
                <c:pt idx="5">
                  <c:v>73.400000000000006</c:v>
                </c:pt>
                <c:pt idx="6">
                  <c:v>74.400000000000006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71-4D5C-9AC9-2BD8B3EA6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</c:scatterChart>
      <c:valAx>
        <c:axId val="628797440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  <a:r>
                  <a:rPr lang="en-US" baseline="0"/>
                  <a:t> on stream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</c:valAx>
      <c:valAx>
        <c:axId val="178427652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wt 560 degC plus conversion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946422980252068"/>
          <c:y val="0.37109981397956321"/>
          <c:w val="0.1756964076790356"/>
          <c:h val="0.109224065438422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500 degC Minus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05014736194939E-2"/>
          <c:y val="0.1352188882848441"/>
          <c:w val="0.7836135257529353"/>
          <c:h val="0.67595230828704556"/>
        </c:manualLayout>
      </c:layout>
      <c:scatterChart>
        <c:scatterStyle val="smoothMarker"/>
        <c:varyColors val="0"/>
        <c:ser>
          <c:idx val="0"/>
          <c:order val="0"/>
          <c:tx>
            <c:v>TOP MEBU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'Master Template'!$D$6:$N$6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Template'!$D$155:$N$155</c:f>
              <c:numCache>
                <c:formatCode>0.00</c:formatCode>
                <c:ptCount val="11"/>
                <c:pt idx="1">
                  <c:v>57.93815542882674</c:v>
                </c:pt>
                <c:pt idx="2">
                  <c:v>57.877385953670611</c:v>
                </c:pt>
                <c:pt idx="3">
                  <c:v>58.083913216089996</c:v>
                </c:pt>
                <c:pt idx="4">
                  <c:v>56.45651146242583</c:v>
                </c:pt>
                <c:pt idx="5">
                  <c:v>54.648819504835856</c:v>
                </c:pt>
                <c:pt idx="6">
                  <c:v>56.242369002634661</c:v>
                </c:pt>
                <c:pt idx="7">
                  <c:v>58.837059840928546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97-4795-B3A6-AA83F64E9DDF}"/>
            </c:ext>
          </c:extLst>
        </c:ser>
        <c:ser>
          <c:idx val="1"/>
          <c:order val="1"/>
          <c:tx>
            <c:v>ART Reference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'Master Template'!$D$6:$J$6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'Master Template'!$D$156:$M$156</c:f>
              <c:numCache>
                <c:formatCode>General</c:formatCode>
                <c:ptCount val="10"/>
                <c:pt idx="1">
                  <c:v>58.81</c:v>
                </c:pt>
                <c:pt idx="2">
                  <c:v>59.7</c:v>
                </c:pt>
                <c:pt idx="3">
                  <c:v>59.22</c:v>
                </c:pt>
                <c:pt idx="4">
                  <c:v>56.67</c:v>
                </c:pt>
                <c:pt idx="5">
                  <c:v>56.47</c:v>
                </c:pt>
                <c:pt idx="6">
                  <c:v>57.36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97-4795-B3A6-AA83F64E9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</c:scatterChart>
      <c:valAx>
        <c:axId val="628797440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on stream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</c:valAx>
      <c:valAx>
        <c:axId val="178427652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  500 degC minus 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57154991479116624"/>
          <c:y val="0.45134326232476757"/>
          <c:w val="0.17485396367063144"/>
          <c:h val="8.72099127143990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(Ni+V)</a:t>
            </a:r>
            <a:r>
              <a:rPr lang="en-US" baseline="0"/>
              <a:t> Conversion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22387721300577"/>
          <c:y val="0.10617425762956101"/>
          <c:w val="0.64887718316174103"/>
          <c:h val="0.71899933096598234"/>
        </c:manualLayout>
      </c:layout>
      <c:scatterChart>
        <c:scatterStyle val="smoothMarker"/>
        <c:varyColors val="0"/>
        <c:ser>
          <c:idx val="0"/>
          <c:order val="0"/>
          <c:tx>
            <c:v>TOP MEBU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'Master Template'!$D$6:$N$6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Template'!$D$104:$N$104</c:f>
              <c:numCache>
                <c:formatCode>0.00</c:formatCode>
                <c:ptCount val="11"/>
                <c:pt idx="1">
                  <c:v>98.741134834767948</c:v>
                </c:pt>
                <c:pt idx="2">
                  <c:v>98.043266403249319</c:v>
                </c:pt>
                <c:pt idx="3">
                  <c:v>97.927560559882366</c:v>
                </c:pt>
                <c:pt idx="4">
                  <c:v>97.570373501296331</c:v>
                </c:pt>
                <c:pt idx="5">
                  <c:v>97.277349446508381</c:v>
                </c:pt>
                <c:pt idx="6">
                  <c:v>97.040053357818181</c:v>
                </c:pt>
                <c:pt idx="7">
                  <c:v>97.082674998896437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CA-4EE7-BB7B-FE16E3BCEE3A}"/>
            </c:ext>
          </c:extLst>
        </c:ser>
        <c:ser>
          <c:idx val="1"/>
          <c:order val="1"/>
          <c:tx>
            <c:v>ART Reference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'Master Template'!$D$6:$N$6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Template'!$D$105:$N$105</c:f>
              <c:numCache>
                <c:formatCode>0.00</c:formatCode>
                <c:ptCount val="11"/>
                <c:pt idx="1">
                  <c:v>98</c:v>
                </c:pt>
                <c:pt idx="2">
                  <c:v>97.5</c:v>
                </c:pt>
                <c:pt idx="3">
                  <c:v>97</c:v>
                </c:pt>
                <c:pt idx="4">
                  <c:v>96.6</c:v>
                </c:pt>
                <c:pt idx="5">
                  <c:v>96.4</c:v>
                </c:pt>
                <c:pt idx="6">
                  <c:v>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CA-4EE7-BB7B-FE16E3BCE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</c:scatterChart>
      <c:valAx>
        <c:axId val="628797440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on stream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</c:valAx>
      <c:valAx>
        <c:axId val="178427652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 Conversion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121959044721376"/>
          <c:y val="0.42576933488695073"/>
          <c:w val="0.17485396367063144"/>
          <c:h val="0.100897567176300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0690428736135559E-2"/>
          <c:y val="3.7800687285223365E-2"/>
          <c:w val="0.8193884901731211"/>
          <c:h val="0.88275509375761019"/>
        </c:manualLayout>
      </c:layout>
      <c:scatterChart>
        <c:scatterStyle val="smoothMarker"/>
        <c:varyColors val="0"/>
        <c:ser>
          <c:idx val="0"/>
          <c:order val="0"/>
          <c:tx>
            <c:v>ART Reference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'Master Template'!$D$6:$M$6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'Master Template'!$D$96:$M$96</c:f>
              <c:numCache>
                <c:formatCode>0.00</c:formatCode>
                <c:ptCount val="10"/>
                <c:pt idx="1">
                  <c:v>77.2</c:v>
                </c:pt>
                <c:pt idx="2">
                  <c:v>76.8</c:v>
                </c:pt>
                <c:pt idx="3">
                  <c:v>75.5</c:v>
                </c:pt>
                <c:pt idx="4">
                  <c:v>73.8</c:v>
                </c:pt>
                <c:pt idx="5">
                  <c:v>73.400000000000006</c:v>
                </c:pt>
                <c:pt idx="6">
                  <c:v>74.400000000000006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A1-48D7-ABDA-6B3DB34BF5C7}"/>
            </c:ext>
          </c:extLst>
        </c:ser>
        <c:ser>
          <c:idx val="1"/>
          <c:order val="1"/>
          <c:tx>
            <c:v>TOP MEBU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'Master Template'!$D$6:$N$6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Template'!$D$121:$N$121</c:f>
              <c:numCache>
                <c:formatCode>0.00</c:formatCode>
                <c:ptCount val="11"/>
                <c:pt idx="1">
                  <c:v>80.289753115912788</c:v>
                </c:pt>
                <c:pt idx="2">
                  <c:v>75.674791281786369</c:v>
                </c:pt>
                <c:pt idx="3">
                  <c:v>74.31331688145508</c:v>
                </c:pt>
                <c:pt idx="4">
                  <c:v>72.67274937072041</c:v>
                </c:pt>
                <c:pt idx="5">
                  <c:v>72.579390389567365</c:v>
                </c:pt>
                <c:pt idx="6">
                  <c:v>72.707876603791064</c:v>
                </c:pt>
                <c:pt idx="7">
                  <c:v>72.204536210803511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A1-48D7-ABDA-6B3DB34BF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</c:scatterChart>
      <c:valAx>
        <c:axId val="120149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</c:valAx>
      <c:valAx>
        <c:axId val="120149716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898924808065289"/>
          <c:y val="0.43513705116757312"/>
          <c:w val="0.18626614351980122"/>
          <c:h val="0.11598019319749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CrkYield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152843396462891E-2"/>
          <c:y val="0.10157765926538732"/>
          <c:w val="0.89359929641054137"/>
          <c:h val="0.79019721971901735"/>
        </c:manualLayout>
      </c:layout>
      <c:scatterChart>
        <c:scatterStyle val="smoothMarker"/>
        <c:varyColors val="0"/>
        <c:ser>
          <c:idx val="5"/>
          <c:order val="0"/>
          <c:tx>
            <c:v>360-560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'Master Template'!$D$6:$N$6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Template'!$E$160:$N$160</c:f>
              <c:numCache>
                <c:formatCode>0.00</c:formatCode>
                <c:ptCount val="10"/>
                <c:pt idx="0">
                  <c:v>31.458782608695653</c:v>
                </c:pt>
                <c:pt idx="1">
                  <c:v>34.449475151043636</c:v>
                </c:pt>
                <c:pt idx="2">
                  <c:v>34.08772893772894</c:v>
                </c:pt>
                <c:pt idx="3">
                  <c:v>33.155381776239906</c:v>
                </c:pt>
                <c:pt idx="4">
                  <c:v>33.841101596852582</c:v>
                </c:pt>
                <c:pt idx="5">
                  <c:v>33.50762523191095</c:v>
                </c:pt>
                <c:pt idx="6">
                  <c:v>35.353206772703942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DC9-4B96-AB1B-9FB9B8E3669B}"/>
            </c:ext>
          </c:extLst>
        </c:ser>
        <c:ser>
          <c:idx val="6"/>
          <c:order val="1"/>
          <c:tx>
            <c:v>560 plus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Template'!$D$6:$N$6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Template'!$E$149:$N$149</c:f>
              <c:numCache>
                <c:formatCode>0.00</c:formatCode>
                <c:ptCount val="10"/>
                <c:pt idx="0">
                  <c:v>18.398124463519309</c:v>
                </c:pt>
                <c:pt idx="1">
                  <c:v>23.27520481370053</c:v>
                </c:pt>
                <c:pt idx="2">
                  <c:v>22.794597069597081</c:v>
                </c:pt>
                <c:pt idx="3">
                  <c:v>24.685017301038055</c:v>
                </c:pt>
                <c:pt idx="4">
                  <c:v>25.985558898403148</c:v>
                </c:pt>
                <c:pt idx="5">
                  <c:v>24.891456400742118</c:v>
                </c:pt>
                <c:pt idx="6">
                  <c:v>22.720328373524886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DC9-4B96-AB1B-9FB9B8E3669B}"/>
            </c:ext>
          </c:extLst>
        </c:ser>
        <c:ser>
          <c:idx val="4"/>
          <c:order val="2"/>
          <c:tx>
            <c:v>250-360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'Master Template'!$D$6:$N$6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Template'!$E$146:$N$146</c:f>
              <c:numCache>
                <c:formatCode>0.00</c:formatCode>
                <c:ptCount val="10"/>
                <c:pt idx="0">
                  <c:v>13.849117372644152</c:v>
                </c:pt>
                <c:pt idx="1">
                  <c:v>16.402250858006667</c:v>
                </c:pt>
                <c:pt idx="2">
                  <c:v>15.696886446886445</c:v>
                </c:pt>
                <c:pt idx="3">
                  <c:v>15.46767474048443</c:v>
                </c:pt>
                <c:pt idx="4">
                  <c:v>15.121545938440176</c:v>
                </c:pt>
                <c:pt idx="5">
                  <c:v>15.078051948051948</c:v>
                </c:pt>
                <c:pt idx="6">
                  <c:v>16.556367367880963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DC9-4B96-AB1B-9FB9B8E3669B}"/>
            </c:ext>
          </c:extLst>
        </c:ser>
        <c:ser>
          <c:idx val="3"/>
          <c:order val="3"/>
          <c:tx>
            <c:v>160-250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'Master Template'!$D$6:$N$6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Template'!$E$145:$N$145</c:f>
              <c:numCache>
                <c:formatCode>0.00</c:formatCode>
                <c:ptCount val="10"/>
                <c:pt idx="0">
                  <c:v>7.4179777943646208</c:v>
                </c:pt>
                <c:pt idx="1">
                  <c:v>10.297869189066754</c:v>
                </c:pt>
                <c:pt idx="2">
                  <c:v>9.3803571428571431</c:v>
                </c:pt>
                <c:pt idx="3">
                  <c:v>9.722136101499423</c:v>
                </c:pt>
                <c:pt idx="4">
                  <c:v>9.055774126359637</c:v>
                </c:pt>
                <c:pt idx="5">
                  <c:v>9.4625510204081635</c:v>
                </c:pt>
                <c:pt idx="6">
                  <c:v>9.7463724987172906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DC9-4B96-AB1B-9FB9B8E3669B}"/>
            </c:ext>
          </c:extLst>
        </c:ser>
        <c:ser>
          <c:idx val="2"/>
          <c:order val="4"/>
          <c:tx>
            <c:v>90-160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'Master Template'!$D$6:$N$6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Template'!$E$144:$N$144</c:f>
              <c:numCache>
                <c:formatCode>0.00</c:formatCode>
                <c:ptCount val="10"/>
                <c:pt idx="0">
                  <c:v>2.416054114573615</c:v>
                </c:pt>
                <c:pt idx="1">
                  <c:v>3.6458441948524523</c:v>
                </c:pt>
                <c:pt idx="2">
                  <c:v>4.1997710622710631</c:v>
                </c:pt>
                <c:pt idx="3">
                  <c:v>4.0066735870818926</c:v>
                </c:pt>
                <c:pt idx="4">
                  <c:v>2.9370053228419351</c:v>
                </c:pt>
                <c:pt idx="5">
                  <c:v>4.2210667903525048</c:v>
                </c:pt>
                <c:pt idx="6">
                  <c:v>4.2040636223704464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DC9-4B96-AB1B-9FB9B8E3669B}"/>
            </c:ext>
          </c:extLst>
        </c:ser>
        <c:ser>
          <c:idx val="1"/>
          <c:order val="5"/>
          <c:tx>
            <c:v>IBP-90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'Master Template'!$D$6:$N$6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Template'!$E$159:$N$159</c:f>
              <c:numCache>
                <c:formatCode>0.00</c:formatCode>
                <c:ptCount val="10"/>
                <c:pt idx="0">
                  <c:v>2.3182508313159285</c:v>
                </c:pt>
                <c:pt idx="1">
                  <c:v>3.6068304092461898</c:v>
                </c:pt>
                <c:pt idx="2">
                  <c:v>4.3499713929902217</c:v>
                </c:pt>
                <c:pt idx="3">
                  <c:v>2.2631568516731293</c:v>
                </c:pt>
                <c:pt idx="4">
                  <c:v>2.4424828529735811</c:v>
                </c:pt>
                <c:pt idx="5">
                  <c:v>2.8774788602581656</c:v>
                </c:pt>
                <c:pt idx="6">
                  <c:v>2.9200643747664783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DC9-4B96-AB1B-9FB9B8E3669B}"/>
            </c:ext>
          </c:extLst>
        </c:ser>
        <c:ser>
          <c:idx val="0"/>
          <c:order val="6"/>
          <c:tx>
            <c:v>C4 minus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'Master Template'!$D$6:$N$6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Template'!$E$152:$N$152</c:f>
              <c:numCache>
                <c:formatCode>0.00</c:formatCode>
                <c:ptCount val="10"/>
                <c:pt idx="0">
                  <c:v>3.0483781022578591</c:v>
                </c:pt>
                <c:pt idx="1">
                  <c:v>4.1989912298556042</c:v>
                </c:pt>
                <c:pt idx="2">
                  <c:v>4.6379539863517678</c:v>
                </c:pt>
                <c:pt idx="3">
                  <c:v>3.9035203898797226</c:v>
                </c:pt>
                <c:pt idx="4">
                  <c:v>3.9026396051028831</c:v>
                </c:pt>
                <c:pt idx="5">
                  <c:v>3.9152112585836387</c:v>
                </c:pt>
                <c:pt idx="6">
                  <c:v>3.9227447753849671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DC9-4B96-AB1B-9FB9B8E3669B}"/>
            </c:ext>
          </c:extLst>
        </c:ser>
        <c:ser>
          <c:idx val="7"/>
          <c:order val="7"/>
          <c:tx>
            <c:v>H2S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Template'!$D$6:$N$6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Template'!$E$141:$N$141</c:f>
              <c:numCache>
                <c:formatCode>0.00</c:formatCode>
                <c:ptCount val="10"/>
                <c:pt idx="0">
                  <c:v>5.6450296872084342</c:v>
                </c:pt>
                <c:pt idx="1">
                  <c:v>5.4540322805004751</c:v>
                </c:pt>
                <c:pt idx="2">
                  <c:v>5.4155813272664828</c:v>
                </c:pt>
                <c:pt idx="3">
                  <c:v>5.311048039215688</c:v>
                </c:pt>
                <c:pt idx="4">
                  <c:v>5.2628613081462641</c:v>
                </c:pt>
                <c:pt idx="5">
                  <c:v>5.2280641697588122</c:v>
                </c:pt>
                <c:pt idx="6">
                  <c:v>5.257144567727039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DC9-4B96-AB1B-9FB9B8E3669B}"/>
            </c:ext>
          </c:extLst>
        </c:ser>
        <c:ser>
          <c:idx val="8"/>
          <c:order val="8"/>
          <c:tx>
            <c:v>NH3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Template'!$D$6:$N$6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Template'!$E$142:$N$142</c:f>
              <c:numCache>
                <c:formatCode>0.00</c:formatCode>
                <c:ptCount val="10"/>
                <c:pt idx="0">
                  <c:v>0.21661889516434307</c:v>
                </c:pt>
                <c:pt idx="1">
                  <c:v>0.17712455008022604</c:v>
                </c:pt>
                <c:pt idx="2">
                  <c:v>0.17298703499476714</c:v>
                </c:pt>
                <c:pt idx="3">
                  <c:v>0.15696853725490198</c:v>
                </c:pt>
                <c:pt idx="4">
                  <c:v>0.15020210192746392</c:v>
                </c:pt>
                <c:pt idx="5">
                  <c:v>0.14022060144447393</c:v>
                </c:pt>
                <c:pt idx="6">
                  <c:v>0.12964900285860886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DC9-4B96-AB1B-9FB9B8E36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</c:scatterChart>
      <c:valAx>
        <c:axId val="1201496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Day on</a:t>
                </a:r>
                <a:r>
                  <a:rPr lang="en-US" b="1" baseline="0"/>
                  <a:t> stream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</c:valAx>
      <c:valAx>
        <c:axId val="1201497168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Yield, 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35928213286617"/>
          <c:y val="0.22207863192358687"/>
          <c:w val="0.11122695920639215"/>
          <c:h val="0.379927612237963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Sedimentation</a:t>
            </a:r>
          </a:p>
        </c:rich>
      </c:tx>
      <c:layout>
        <c:manualLayout>
          <c:xMode val="edge"/>
          <c:yMode val="edge"/>
          <c:x val="0.40969353007945514"/>
          <c:y val="4.1237113402061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06500308346813"/>
          <c:y val="0.13402061855670103"/>
          <c:w val="0.75582435850456264"/>
          <c:h val="0.80371729307032502"/>
        </c:manualLayout>
      </c:layout>
      <c:scatterChart>
        <c:scatterStyle val="smoothMarker"/>
        <c:varyColors val="0"/>
        <c:ser>
          <c:idx val="0"/>
          <c:order val="0"/>
          <c:tx>
            <c:v>ART Reference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'Master Template'!$D$6:$M$6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'Master Template'!$E$163:$J$163</c:f>
              <c:numCache>
                <c:formatCode>General</c:formatCode>
                <c:ptCount val="6"/>
                <c:pt idx="0">
                  <c:v>202</c:v>
                </c:pt>
                <c:pt idx="1">
                  <c:v>220</c:v>
                </c:pt>
                <c:pt idx="2">
                  <c:v>139</c:v>
                </c:pt>
                <c:pt idx="3">
                  <c:v>164</c:v>
                </c:pt>
                <c:pt idx="4">
                  <c:v>278</c:v>
                </c:pt>
                <c:pt idx="5">
                  <c:v>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B2-46DD-A395-DD188B117CB1}"/>
            </c:ext>
          </c:extLst>
        </c:ser>
        <c:ser>
          <c:idx val="1"/>
          <c:order val="1"/>
          <c:tx>
            <c:v>TOP MEBU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'Master Template'!$D$6:$N$6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Template'!$E$162:$N$162</c:f>
              <c:numCache>
                <c:formatCode>0</c:formatCode>
                <c:ptCount val="10"/>
                <c:pt idx="0">
                  <c:v>600</c:v>
                </c:pt>
                <c:pt idx="1">
                  <c:v>500</c:v>
                </c:pt>
                <c:pt idx="2">
                  <c:v>300</c:v>
                </c:pt>
                <c:pt idx="3">
                  <c:v>400</c:v>
                </c:pt>
                <c:pt idx="4">
                  <c:v>600</c:v>
                </c:pt>
                <c:pt idx="5">
                  <c:v>200</c:v>
                </c:pt>
                <c:pt idx="6">
                  <c:v>500</c:v>
                </c:pt>
                <c:pt idx="7">
                  <c:v>2100</c:v>
                </c:pt>
                <c:pt idx="8">
                  <c:v>310</c:v>
                </c:pt>
                <c:pt idx="9">
                  <c:v>690.00000000000011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B2-46DD-A395-DD188B117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</c:scatterChart>
      <c:valAx>
        <c:axId val="120149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on stream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</c:valAx>
      <c:valAx>
        <c:axId val="120149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Sedimentation,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HPS BOILING POINT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'MEBU HPS LTO DAILY Graph'!$H$15</c:f>
              <c:strCache>
                <c:ptCount val="1"/>
                <c:pt idx="0">
                  <c:v>14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'MEBU HPS LTO DAILY Graph'!$H$17:$H$90</c:f>
              <c:numCache>
                <c:formatCode>General</c:formatCode>
                <c:ptCount val="74"/>
                <c:pt idx="0">
                  <c:v>161</c:v>
                </c:pt>
                <c:pt idx="1">
                  <c:v>190</c:v>
                </c:pt>
                <c:pt idx="2">
                  <c:v>231</c:v>
                </c:pt>
                <c:pt idx="3">
                  <c:v>261</c:v>
                </c:pt>
                <c:pt idx="4">
                  <c:v>285</c:v>
                </c:pt>
                <c:pt idx="5">
                  <c:v>306</c:v>
                </c:pt>
                <c:pt idx="6">
                  <c:v>323</c:v>
                </c:pt>
                <c:pt idx="7">
                  <c:v>339</c:v>
                </c:pt>
                <c:pt idx="8">
                  <c:v>353</c:v>
                </c:pt>
                <c:pt idx="9">
                  <c:v>366</c:v>
                </c:pt>
                <c:pt idx="10">
                  <c:v>378</c:v>
                </c:pt>
                <c:pt idx="11">
                  <c:v>389</c:v>
                </c:pt>
                <c:pt idx="12">
                  <c:v>400</c:v>
                </c:pt>
                <c:pt idx="13">
                  <c:v>411</c:v>
                </c:pt>
                <c:pt idx="14">
                  <c:v>421</c:v>
                </c:pt>
                <c:pt idx="15">
                  <c:v>430</c:v>
                </c:pt>
                <c:pt idx="16">
                  <c:v>439</c:v>
                </c:pt>
                <c:pt idx="17">
                  <c:v>448</c:v>
                </c:pt>
                <c:pt idx="18">
                  <c:v>457</c:v>
                </c:pt>
                <c:pt idx="19">
                  <c:v>465</c:v>
                </c:pt>
                <c:pt idx="20">
                  <c:v>473</c:v>
                </c:pt>
                <c:pt idx="21">
                  <c:v>481</c:v>
                </c:pt>
                <c:pt idx="22">
                  <c:v>488</c:v>
                </c:pt>
                <c:pt idx="23">
                  <c:v>496</c:v>
                </c:pt>
                <c:pt idx="24">
                  <c:v>502</c:v>
                </c:pt>
                <c:pt idx="25">
                  <c:v>508</c:v>
                </c:pt>
                <c:pt idx="26">
                  <c:v>515</c:v>
                </c:pt>
                <c:pt idx="27">
                  <c:v>521</c:v>
                </c:pt>
                <c:pt idx="28">
                  <c:v>526</c:v>
                </c:pt>
                <c:pt idx="29">
                  <c:v>531</c:v>
                </c:pt>
                <c:pt idx="30">
                  <c:v>536</c:v>
                </c:pt>
                <c:pt idx="31">
                  <c:v>541</c:v>
                </c:pt>
                <c:pt idx="32">
                  <c:v>545</c:v>
                </c:pt>
                <c:pt idx="33">
                  <c:v>550</c:v>
                </c:pt>
                <c:pt idx="34">
                  <c:v>554</c:v>
                </c:pt>
                <c:pt idx="35">
                  <c:v>558</c:v>
                </c:pt>
                <c:pt idx="36">
                  <c:v>562</c:v>
                </c:pt>
                <c:pt idx="37">
                  <c:v>566</c:v>
                </c:pt>
                <c:pt idx="38">
                  <c:v>569</c:v>
                </c:pt>
                <c:pt idx="39">
                  <c:v>573</c:v>
                </c:pt>
                <c:pt idx="40">
                  <c:v>576</c:v>
                </c:pt>
                <c:pt idx="41">
                  <c:v>580</c:v>
                </c:pt>
                <c:pt idx="42">
                  <c:v>584</c:v>
                </c:pt>
                <c:pt idx="43">
                  <c:v>587</c:v>
                </c:pt>
                <c:pt idx="44">
                  <c:v>591</c:v>
                </c:pt>
                <c:pt idx="45">
                  <c:v>594</c:v>
                </c:pt>
                <c:pt idx="46">
                  <c:v>598</c:v>
                </c:pt>
                <c:pt idx="47">
                  <c:v>602</c:v>
                </c:pt>
                <c:pt idx="48">
                  <c:v>606</c:v>
                </c:pt>
                <c:pt idx="49">
                  <c:v>610</c:v>
                </c:pt>
                <c:pt idx="50">
                  <c:v>614</c:v>
                </c:pt>
                <c:pt idx="51">
                  <c:v>618</c:v>
                </c:pt>
                <c:pt idx="52">
                  <c:v>622</c:v>
                </c:pt>
                <c:pt idx="53">
                  <c:v>626</c:v>
                </c:pt>
                <c:pt idx="54">
                  <c:v>631</c:v>
                </c:pt>
                <c:pt idx="55">
                  <c:v>635</c:v>
                </c:pt>
                <c:pt idx="56">
                  <c:v>640</c:v>
                </c:pt>
                <c:pt idx="57">
                  <c:v>645</c:v>
                </c:pt>
                <c:pt idx="58">
                  <c:v>650</c:v>
                </c:pt>
                <c:pt idx="59">
                  <c:v>655</c:v>
                </c:pt>
                <c:pt idx="60">
                  <c:v>661</c:v>
                </c:pt>
                <c:pt idx="61">
                  <c:v>668</c:v>
                </c:pt>
                <c:pt idx="62">
                  <c:v>674</c:v>
                </c:pt>
                <c:pt idx="63">
                  <c:v>682</c:v>
                </c:pt>
                <c:pt idx="64">
                  <c:v>690</c:v>
                </c:pt>
                <c:pt idx="65">
                  <c:v>697</c:v>
                </c:pt>
                <c:pt idx="66">
                  <c:v>706</c:v>
                </c:pt>
                <c:pt idx="67">
                  <c:v>717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C1-4251-92CB-1551F2BD2D80}"/>
            </c:ext>
          </c:extLst>
        </c:ser>
        <c:ser>
          <c:idx val="2"/>
          <c:order val="2"/>
          <c:tx>
            <c:strRef>
              <c:f>'MEBU HPS LTO DAILY Graph'!$I$15</c:f>
              <c:strCache>
                <c:ptCount val="1"/>
                <c:pt idx="0">
                  <c:v>14-15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'MEBU HPS LTO DAILY Graph'!$D$17:$D$90</c:f>
              <c:numCache>
                <c:formatCode>General</c:formatCode>
                <c:ptCount val="7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</c:numCache>
            </c:numRef>
          </c:xVal>
          <c:yVal>
            <c:numRef>
              <c:f>'MEBU HPS LTO DAILY Graph'!$I$17:$I$90</c:f>
              <c:numCache>
                <c:formatCode>General</c:formatCode>
                <c:ptCount val="74"/>
                <c:pt idx="0">
                  <c:v>159</c:v>
                </c:pt>
                <c:pt idx="1">
                  <c:v>187</c:v>
                </c:pt>
                <c:pt idx="2">
                  <c:v>229</c:v>
                </c:pt>
                <c:pt idx="3">
                  <c:v>261</c:v>
                </c:pt>
                <c:pt idx="4">
                  <c:v>288</c:v>
                </c:pt>
                <c:pt idx="5">
                  <c:v>309</c:v>
                </c:pt>
                <c:pt idx="6">
                  <c:v>328</c:v>
                </c:pt>
                <c:pt idx="7">
                  <c:v>344</c:v>
                </c:pt>
                <c:pt idx="8">
                  <c:v>359</c:v>
                </c:pt>
                <c:pt idx="9">
                  <c:v>373</c:v>
                </c:pt>
                <c:pt idx="10">
                  <c:v>386</c:v>
                </c:pt>
                <c:pt idx="11">
                  <c:v>398</c:v>
                </c:pt>
                <c:pt idx="12">
                  <c:v>410</c:v>
                </c:pt>
                <c:pt idx="13">
                  <c:v>421</c:v>
                </c:pt>
                <c:pt idx="14">
                  <c:v>431</c:v>
                </c:pt>
                <c:pt idx="15">
                  <c:v>442</c:v>
                </c:pt>
                <c:pt idx="16">
                  <c:v>451</c:v>
                </c:pt>
                <c:pt idx="17">
                  <c:v>461</c:v>
                </c:pt>
                <c:pt idx="18">
                  <c:v>470</c:v>
                </c:pt>
                <c:pt idx="19">
                  <c:v>479</c:v>
                </c:pt>
                <c:pt idx="20">
                  <c:v>487</c:v>
                </c:pt>
                <c:pt idx="21">
                  <c:v>495</c:v>
                </c:pt>
                <c:pt idx="22">
                  <c:v>502</c:v>
                </c:pt>
                <c:pt idx="23">
                  <c:v>509</c:v>
                </c:pt>
                <c:pt idx="24">
                  <c:v>516</c:v>
                </c:pt>
                <c:pt idx="25">
                  <c:v>522</c:v>
                </c:pt>
                <c:pt idx="26">
                  <c:v>528</c:v>
                </c:pt>
                <c:pt idx="27">
                  <c:v>534</c:v>
                </c:pt>
                <c:pt idx="28">
                  <c:v>539</c:v>
                </c:pt>
                <c:pt idx="29">
                  <c:v>544</c:v>
                </c:pt>
                <c:pt idx="30">
                  <c:v>549</c:v>
                </c:pt>
                <c:pt idx="31">
                  <c:v>554</c:v>
                </c:pt>
                <c:pt idx="32">
                  <c:v>558</c:v>
                </c:pt>
                <c:pt idx="33">
                  <c:v>562</c:v>
                </c:pt>
                <c:pt idx="34">
                  <c:v>566</c:v>
                </c:pt>
                <c:pt idx="35">
                  <c:v>570</c:v>
                </c:pt>
                <c:pt idx="36">
                  <c:v>574</c:v>
                </c:pt>
                <c:pt idx="37">
                  <c:v>578</c:v>
                </c:pt>
                <c:pt idx="38">
                  <c:v>582</c:v>
                </c:pt>
                <c:pt idx="39">
                  <c:v>586</c:v>
                </c:pt>
                <c:pt idx="40">
                  <c:v>590</c:v>
                </c:pt>
                <c:pt idx="41">
                  <c:v>594</c:v>
                </c:pt>
                <c:pt idx="42">
                  <c:v>598</c:v>
                </c:pt>
                <c:pt idx="43">
                  <c:v>602</c:v>
                </c:pt>
                <c:pt idx="44">
                  <c:v>606</c:v>
                </c:pt>
                <c:pt idx="45">
                  <c:v>610</c:v>
                </c:pt>
                <c:pt idx="46">
                  <c:v>615</c:v>
                </c:pt>
                <c:pt idx="47">
                  <c:v>619</c:v>
                </c:pt>
                <c:pt idx="48">
                  <c:v>624</c:v>
                </c:pt>
                <c:pt idx="49">
                  <c:v>629</c:v>
                </c:pt>
                <c:pt idx="50">
                  <c:v>634</c:v>
                </c:pt>
                <c:pt idx="51">
                  <c:v>639</c:v>
                </c:pt>
                <c:pt idx="52">
                  <c:v>644</c:v>
                </c:pt>
                <c:pt idx="53">
                  <c:v>650</c:v>
                </c:pt>
                <c:pt idx="54">
                  <c:v>655</c:v>
                </c:pt>
                <c:pt idx="55">
                  <c:v>661</c:v>
                </c:pt>
                <c:pt idx="56">
                  <c:v>669</c:v>
                </c:pt>
                <c:pt idx="57">
                  <c:v>676</c:v>
                </c:pt>
                <c:pt idx="58">
                  <c:v>684</c:v>
                </c:pt>
                <c:pt idx="59">
                  <c:v>692</c:v>
                </c:pt>
                <c:pt idx="60">
                  <c:v>701</c:v>
                </c:pt>
                <c:pt idx="61">
                  <c:v>709</c:v>
                </c:pt>
                <c:pt idx="62">
                  <c:v>720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C1-4251-92CB-1551F2BD2D80}"/>
            </c:ext>
          </c:extLst>
        </c:ser>
        <c:ser>
          <c:idx val="3"/>
          <c:order val="3"/>
          <c:tx>
            <c:strRef>
              <c:f>'MEBU HPS LTO DAILY Graph'!$J$15</c:f>
              <c:strCache>
                <c:ptCount val="1"/>
                <c:pt idx="0">
                  <c:v>15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'MEBU HPS LTO DAILY Graph'!$J$17:$J$90</c:f>
              <c:numCache>
                <c:formatCode>General</c:formatCode>
                <c:ptCount val="74"/>
                <c:pt idx="0">
                  <c:v>162</c:v>
                </c:pt>
                <c:pt idx="1">
                  <c:v>190</c:v>
                </c:pt>
                <c:pt idx="2">
                  <c:v>229</c:v>
                </c:pt>
                <c:pt idx="3">
                  <c:v>259</c:v>
                </c:pt>
                <c:pt idx="4">
                  <c:v>284</c:v>
                </c:pt>
                <c:pt idx="5">
                  <c:v>304</c:v>
                </c:pt>
                <c:pt idx="6">
                  <c:v>321</c:v>
                </c:pt>
                <c:pt idx="7">
                  <c:v>337</c:v>
                </c:pt>
                <c:pt idx="8">
                  <c:v>351</c:v>
                </c:pt>
                <c:pt idx="9">
                  <c:v>364</c:v>
                </c:pt>
                <c:pt idx="10">
                  <c:v>376</c:v>
                </c:pt>
                <c:pt idx="11">
                  <c:v>387</c:v>
                </c:pt>
                <c:pt idx="12">
                  <c:v>398</c:v>
                </c:pt>
                <c:pt idx="13">
                  <c:v>409</c:v>
                </c:pt>
                <c:pt idx="14">
                  <c:v>419</c:v>
                </c:pt>
                <c:pt idx="15">
                  <c:v>428</c:v>
                </c:pt>
                <c:pt idx="16">
                  <c:v>438</c:v>
                </c:pt>
                <c:pt idx="17">
                  <c:v>447</c:v>
                </c:pt>
                <c:pt idx="18">
                  <c:v>455</c:v>
                </c:pt>
                <c:pt idx="19">
                  <c:v>464</c:v>
                </c:pt>
                <c:pt idx="20">
                  <c:v>472</c:v>
                </c:pt>
                <c:pt idx="21">
                  <c:v>480</c:v>
                </c:pt>
                <c:pt idx="22">
                  <c:v>487</c:v>
                </c:pt>
                <c:pt idx="23">
                  <c:v>495</c:v>
                </c:pt>
                <c:pt idx="24">
                  <c:v>501</c:v>
                </c:pt>
                <c:pt idx="25">
                  <c:v>507</c:v>
                </c:pt>
                <c:pt idx="26">
                  <c:v>513</c:v>
                </c:pt>
                <c:pt idx="27">
                  <c:v>519</c:v>
                </c:pt>
                <c:pt idx="28">
                  <c:v>525</c:v>
                </c:pt>
                <c:pt idx="29">
                  <c:v>530</c:v>
                </c:pt>
                <c:pt idx="30">
                  <c:v>535</c:v>
                </c:pt>
                <c:pt idx="31">
                  <c:v>540</c:v>
                </c:pt>
                <c:pt idx="32">
                  <c:v>544</c:v>
                </c:pt>
                <c:pt idx="33">
                  <c:v>548</c:v>
                </c:pt>
                <c:pt idx="34">
                  <c:v>553</c:v>
                </c:pt>
                <c:pt idx="35">
                  <c:v>557</c:v>
                </c:pt>
                <c:pt idx="36">
                  <c:v>561</c:v>
                </c:pt>
                <c:pt idx="37">
                  <c:v>565</c:v>
                </c:pt>
                <c:pt idx="38">
                  <c:v>568</c:v>
                </c:pt>
                <c:pt idx="39">
                  <c:v>572</c:v>
                </c:pt>
                <c:pt idx="40">
                  <c:v>575</c:v>
                </c:pt>
                <c:pt idx="41">
                  <c:v>579</c:v>
                </c:pt>
                <c:pt idx="42">
                  <c:v>582</c:v>
                </c:pt>
                <c:pt idx="43">
                  <c:v>586</c:v>
                </c:pt>
                <c:pt idx="44">
                  <c:v>589</c:v>
                </c:pt>
                <c:pt idx="45">
                  <c:v>593</c:v>
                </c:pt>
                <c:pt idx="46">
                  <c:v>596</c:v>
                </c:pt>
                <c:pt idx="47">
                  <c:v>600</c:v>
                </c:pt>
                <c:pt idx="48">
                  <c:v>604</c:v>
                </c:pt>
                <c:pt idx="49">
                  <c:v>608</c:v>
                </c:pt>
                <c:pt idx="50">
                  <c:v>612</c:v>
                </c:pt>
                <c:pt idx="51">
                  <c:v>616</c:v>
                </c:pt>
                <c:pt idx="52">
                  <c:v>620</c:v>
                </c:pt>
                <c:pt idx="53">
                  <c:v>624</c:v>
                </c:pt>
                <c:pt idx="54">
                  <c:v>628</c:v>
                </c:pt>
                <c:pt idx="55">
                  <c:v>633</c:v>
                </c:pt>
                <c:pt idx="56">
                  <c:v>637</c:v>
                </c:pt>
                <c:pt idx="57">
                  <c:v>642</c:v>
                </c:pt>
                <c:pt idx="58">
                  <c:v>647</c:v>
                </c:pt>
                <c:pt idx="59">
                  <c:v>652</c:v>
                </c:pt>
                <c:pt idx="60">
                  <c:v>657</c:v>
                </c:pt>
                <c:pt idx="61">
                  <c:v>662</c:v>
                </c:pt>
                <c:pt idx="62">
                  <c:v>669</c:v>
                </c:pt>
                <c:pt idx="63">
                  <c:v>675</c:v>
                </c:pt>
                <c:pt idx="64">
                  <c:v>683</c:v>
                </c:pt>
                <c:pt idx="65">
                  <c:v>690</c:v>
                </c:pt>
                <c:pt idx="66">
                  <c:v>696</c:v>
                </c:pt>
                <c:pt idx="67">
                  <c:v>703</c:v>
                </c:pt>
                <c:pt idx="68">
                  <c:v>711</c:v>
                </c:pt>
                <c:pt idx="69">
                  <c:v>719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C1-4251-92CB-1551F2BD2D80}"/>
            </c:ext>
          </c:extLst>
        </c:ser>
        <c:ser>
          <c:idx val="4"/>
          <c:order val="4"/>
          <c:tx>
            <c:strRef>
              <c:f>'MEBU HPS LTO DAILY Graph'!$K$15</c:f>
              <c:strCache>
                <c:ptCount val="1"/>
                <c:pt idx="0">
                  <c:v>15-16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yVal>
            <c:numRef>
              <c:f>'MEBU HPS LTO DAILY Graph'!$K$17:$K$90</c:f>
              <c:numCache>
                <c:formatCode>General</c:formatCode>
                <c:ptCount val="74"/>
                <c:pt idx="0">
                  <c:v>167</c:v>
                </c:pt>
                <c:pt idx="1">
                  <c:v>197</c:v>
                </c:pt>
                <c:pt idx="2">
                  <c:v>236</c:v>
                </c:pt>
                <c:pt idx="3">
                  <c:v>266</c:v>
                </c:pt>
                <c:pt idx="4">
                  <c:v>290</c:v>
                </c:pt>
                <c:pt idx="5">
                  <c:v>310</c:v>
                </c:pt>
                <c:pt idx="6">
                  <c:v>327</c:v>
                </c:pt>
                <c:pt idx="7">
                  <c:v>342</c:v>
                </c:pt>
                <c:pt idx="8">
                  <c:v>355</c:v>
                </c:pt>
                <c:pt idx="9">
                  <c:v>369</c:v>
                </c:pt>
                <c:pt idx="10">
                  <c:v>380</c:v>
                </c:pt>
                <c:pt idx="11">
                  <c:v>391</c:v>
                </c:pt>
                <c:pt idx="12">
                  <c:v>402</c:v>
                </c:pt>
                <c:pt idx="13">
                  <c:v>412</c:v>
                </c:pt>
                <c:pt idx="14">
                  <c:v>422</c:v>
                </c:pt>
                <c:pt idx="15">
                  <c:v>432</c:v>
                </c:pt>
                <c:pt idx="16">
                  <c:v>441</c:v>
                </c:pt>
                <c:pt idx="17">
                  <c:v>449</c:v>
                </c:pt>
                <c:pt idx="18">
                  <c:v>458</c:v>
                </c:pt>
                <c:pt idx="19">
                  <c:v>466</c:v>
                </c:pt>
                <c:pt idx="20">
                  <c:v>474</c:v>
                </c:pt>
                <c:pt idx="21">
                  <c:v>482</c:v>
                </c:pt>
                <c:pt idx="22">
                  <c:v>489</c:v>
                </c:pt>
                <c:pt idx="23">
                  <c:v>496</c:v>
                </c:pt>
                <c:pt idx="24">
                  <c:v>503</c:v>
                </c:pt>
                <c:pt idx="25">
                  <c:v>509</c:v>
                </c:pt>
                <c:pt idx="26">
                  <c:v>515</c:v>
                </c:pt>
                <c:pt idx="27">
                  <c:v>521</c:v>
                </c:pt>
                <c:pt idx="28">
                  <c:v>526</c:v>
                </c:pt>
                <c:pt idx="29">
                  <c:v>531</c:v>
                </c:pt>
                <c:pt idx="30">
                  <c:v>536</c:v>
                </c:pt>
                <c:pt idx="31">
                  <c:v>540</c:v>
                </c:pt>
                <c:pt idx="32">
                  <c:v>545</c:v>
                </c:pt>
                <c:pt idx="33">
                  <c:v>549</c:v>
                </c:pt>
                <c:pt idx="34">
                  <c:v>554</c:v>
                </c:pt>
                <c:pt idx="35">
                  <c:v>558</c:v>
                </c:pt>
                <c:pt idx="36">
                  <c:v>561</c:v>
                </c:pt>
                <c:pt idx="37">
                  <c:v>565</c:v>
                </c:pt>
                <c:pt idx="38">
                  <c:v>569</c:v>
                </c:pt>
                <c:pt idx="39">
                  <c:v>572</c:v>
                </c:pt>
                <c:pt idx="40">
                  <c:v>576</c:v>
                </c:pt>
                <c:pt idx="41">
                  <c:v>579</c:v>
                </c:pt>
                <c:pt idx="42">
                  <c:v>583</c:v>
                </c:pt>
                <c:pt idx="43">
                  <c:v>586</c:v>
                </c:pt>
                <c:pt idx="44">
                  <c:v>590</c:v>
                </c:pt>
                <c:pt idx="45">
                  <c:v>593</c:v>
                </c:pt>
                <c:pt idx="46">
                  <c:v>597</c:v>
                </c:pt>
                <c:pt idx="47">
                  <c:v>600</c:v>
                </c:pt>
                <c:pt idx="48">
                  <c:v>604</c:v>
                </c:pt>
                <c:pt idx="49">
                  <c:v>608</c:v>
                </c:pt>
                <c:pt idx="50">
                  <c:v>612</c:v>
                </c:pt>
                <c:pt idx="51">
                  <c:v>616</c:v>
                </c:pt>
                <c:pt idx="52">
                  <c:v>620</c:v>
                </c:pt>
                <c:pt idx="53">
                  <c:v>624</c:v>
                </c:pt>
                <c:pt idx="54">
                  <c:v>629</c:v>
                </c:pt>
                <c:pt idx="55">
                  <c:v>633</c:v>
                </c:pt>
                <c:pt idx="56">
                  <c:v>637</c:v>
                </c:pt>
                <c:pt idx="57">
                  <c:v>642</c:v>
                </c:pt>
                <c:pt idx="58">
                  <c:v>647</c:v>
                </c:pt>
                <c:pt idx="59">
                  <c:v>652</c:v>
                </c:pt>
                <c:pt idx="60">
                  <c:v>657</c:v>
                </c:pt>
                <c:pt idx="61">
                  <c:v>663</c:v>
                </c:pt>
                <c:pt idx="62">
                  <c:v>670</c:v>
                </c:pt>
                <c:pt idx="63">
                  <c:v>677</c:v>
                </c:pt>
                <c:pt idx="64">
                  <c:v>685</c:v>
                </c:pt>
                <c:pt idx="65">
                  <c:v>692</c:v>
                </c:pt>
                <c:pt idx="66">
                  <c:v>700</c:v>
                </c:pt>
                <c:pt idx="67">
                  <c:v>709</c:v>
                </c:pt>
                <c:pt idx="68">
                  <c:v>719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C1-4251-92CB-1551F2BD2D80}"/>
            </c:ext>
          </c:extLst>
        </c:ser>
        <c:ser>
          <c:idx val="5"/>
          <c:order val="5"/>
          <c:tx>
            <c:strRef>
              <c:f>'MEBU HPS LTO DAILY Graph'!$L$15</c:f>
              <c:strCache>
                <c:ptCount val="1"/>
                <c:pt idx="0">
                  <c:v>16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'MEBU HPS LTO DAILY Graph'!$D$17:$D$90</c:f>
              <c:numCache>
                <c:formatCode>General</c:formatCode>
                <c:ptCount val="7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</c:numCache>
            </c:numRef>
          </c:xVal>
          <c:yVal>
            <c:numRef>
              <c:f>'MEBU HPS LTO DAILY Graph'!$L$17:$L$90</c:f>
              <c:numCache>
                <c:formatCode>General</c:formatCode>
                <c:ptCount val="74"/>
                <c:pt idx="0">
                  <c:v>163</c:v>
                </c:pt>
                <c:pt idx="1">
                  <c:v>195</c:v>
                </c:pt>
                <c:pt idx="2">
                  <c:v>237</c:v>
                </c:pt>
                <c:pt idx="3">
                  <c:v>270</c:v>
                </c:pt>
                <c:pt idx="4">
                  <c:v>297</c:v>
                </c:pt>
                <c:pt idx="5">
                  <c:v>318</c:v>
                </c:pt>
                <c:pt idx="6">
                  <c:v>337</c:v>
                </c:pt>
                <c:pt idx="7">
                  <c:v>353</c:v>
                </c:pt>
                <c:pt idx="8">
                  <c:v>368</c:v>
                </c:pt>
                <c:pt idx="9">
                  <c:v>382</c:v>
                </c:pt>
                <c:pt idx="10">
                  <c:v>394</c:v>
                </c:pt>
                <c:pt idx="11">
                  <c:v>407</c:v>
                </c:pt>
                <c:pt idx="12">
                  <c:v>418</c:v>
                </c:pt>
                <c:pt idx="13">
                  <c:v>429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469</c:v>
                </c:pt>
                <c:pt idx="18">
                  <c:v>478</c:v>
                </c:pt>
                <c:pt idx="19">
                  <c:v>487</c:v>
                </c:pt>
                <c:pt idx="20">
                  <c:v>495</c:v>
                </c:pt>
                <c:pt idx="21">
                  <c:v>502</c:v>
                </c:pt>
                <c:pt idx="22">
                  <c:v>509</c:v>
                </c:pt>
                <c:pt idx="23">
                  <c:v>516</c:v>
                </c:pt>
                <c:pt idx="24">
                  <c:v>523</c:v>
                </c:pt>
                <c:pt idx="25">
                  <c:v>529</c:v>
                </c:pt>
                <c:pt idx="26">
                  <c:v>534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559</c:v>
                </c:pt>
                <c:pt idx="32">
                  <c:v>563</c:v>
                </c:pt>
                <c:pt idx="33">
                  <c:v>567</c:v>
                </c:pt>
                <c:pt idx="34">
                  <c:v>571</c:v>
                </c:pt>
                <c:pt idx="35">
                  <c:v>575</c:v>
                </c:pt>
                <c:pt idx="36">
                  <c:v>579</c:v>
                </c:pt>
                <c:pt idx="37">
                  <c:v>583</c:v>
                </c:pt>
                <c:pt idx="38">
                  <c:v>587</c:v>
                </c:pt>
                <c:pt idx="39">
                  <c:v>591</c:v>
                </c:pt>
                <c:pt idx="40">
                  <c:v>595</c:v>
                </c:pt>
                <c:pt idx="41">
                  <c:v>599</c:v>
                </c:pt>
                <c:pt idx="42">
                  <c:v>604</c:v>
                </c:pt>
                <c:pt idx="43">
                  <c:v>608</c:v>
                </c:pt>
                <c:pt idx="44">
                  <c:v>613</c:v>
                </c:pt>
                <c:pt idx="45">
                  <c:v>617</c:v>
                </c:pt>
                <c:pt idx="46">
                  <c:v>622</c:v>
                </c:pt>
                <c:pt idx="47">
                  <c:v>627</c:v>
                </c:pt>
                <c:pt idx="48">
                  <c:v>632</c:v>
                </c:pt>
                <c:pt idx="49">
                  <c:v>637</c:v>
                </c:pt>
                <c:pt idx="50">
                  <c:v>642</c:v>
                </c:pt>
                <c:pt idx="51">
                  <c:v>648</c:v>
                </c:pt>
                <c:pt idx="52">
                  <c:v>653</c:v>
                </c:pt>
                <c:pt idx="53">
                  <c:v>659</c:v>
                </c:pt>
                <c:pt idx="54">
                  <c:v>667</c:v>
                </c:pt>
                <c:pt idx="55">
                  <c:v>674</c:v>
                </c:pt>
                <c:pt idx="56">
                  <c:v>683</c:v>
                </c:pt>
                <c:pt idx="57">
                  <c:v>691</c:v>
                </c:pt>
                <c:pt idx="58">
                  <c:v>699</c:v>
                </c:pt>
                <c:pt idx="59">
                  <c:v>708</c:v>
                </c:pt>
                <c:pt idx="60">
                  <c:v>719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7C1-4251-92CB-1551F2BD2D80}"/>
            </c:ext>
          </c:extLst>
        </c:ser>
        <c:ser>
          <c:idx val="6"/>
          <c:order val="6"/>
          <c:tx>
            <c:strRef>
              <c:f>'MEBU HPS LTO DAILY Graph'!$F$16</c:f>
              <c:strCache>
                <c:ptCount val="1"/>
                <c:pt idx="0">
                  <c:v>560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'MEBU HPS LTO DAILY Graph'!$D$17:$D$117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Graph'!$F$17:$F$117</c:f>
              <c:numCache>
                <c:formatCode>General</c:formatCode>
                <c:ptCount val="101"/>
                <c:pt idx="0">
                  <c:v>560</c:v>
                </c:pt>
                <c:pt idx="1">
                  <c:v>560</c:v>
                </c:pt>
                <c:pt idx="2">
                  <c:v>560</c:v>
                </c:pt>
                <c:pt idx="3">
                  <c:v>560</c:v>
                </c:pt>
                <c:pt idx="4">
                  <c:v>560</c:v>
                </c:pt>
                <c:pt idx="5">
                  <c:v>560</c:v>
                </c:pt>
                <c:pt idx="6">
                  <c:v>560</c:v>
                </c:pt>
                <c:pt idx="7">
                  <c:v>560</c:v>
                </c:pt>
                <c:pt idx="8">
                  <c:v>560</c:v>
                </c:pt>
                <c:pt idx="9">
                  <c:v>560</c:v>
                </c:pt>
                <c:pt idx="10">
                  <c:v>560</c:v>
                </c:pt>
                <c:pt idx="11">
                  <c:v>560</c:v>
                </c:pt>
                <c:pt idx="12">
                  <c:v>560</c:v>
                </c:pt>
                <c:pt idx="13">
                  <c:v>560</c:v>
                </c:pt>
                <c:pt idx="14">
                  <c:v>560</c:v>
                </c:pt>
                <c:pt idx="15">
                  <c:v>560</c:v>
                </c:pt>
                <c:pt idx="16">
                  <c:v>560</c:v>
                </c:pt>
                <c:pt idx="17">
                  <c:v>560</c:v>
                </c:pt>
                <c:pt idx="18">
                  <c:v>560</c:v>
                </c:pt>
                <c:pt idx="19">
                  <c:v>560</c:v>
                </c:pt>
                <c:pt idx="20">
                  <c:v>560</c:v>
                </c:pt>
                <c:pt idx="21">
                  <c:v>560</c:v>
                </c:pt>
                <c:pt idx="22">
                  <c:v>560</c:v>
                </c:pt>
                <c:pt idx="23">
                  <c:v>560</c:v>
                </c:pt>
                <c:pt idx="24">
                  <c:v>560</c:v>
                </c:pt>
                <c:pt idx="25">
                  <c:v>560</c:v>
                </c:pt>
                <c:pt idx="26">
                  <c:v>560</c:v>
                </c:pt>
                <c:pt idx="27">
                  <c:v>560</c:v>
                </c:pt>
                <c:pt idx="28">
                  <c:v>560</c:v>
                </c:pt>
                <c:pt idx="29">
                  <c:v>560</c:v>
                </c:pt>
                <c:pt idx="30">
                  <c:v>560</c:v>
                </c:pt>
                <c:pt idx="31">
                  <c:v>560</c:v>
                </c:pt>
                <c:pt idx="32">
                  <c:v>560</c:v>
                </c:pt>
                <c:pt idx="33">
                  <c:v>560</c:v>
                </c:pt>
                <c:pt idx="34">
                  <c:v>560</c:v>
                </c:pt>
                <c:pt idx="35">
                  <c:v>560</c:v>
                </c:pt>
                <c:pt idx="36">
                  <c:v>560</c:v>
                </c:pt>
                <c:pt idx="37">
                  <c:v>560</c:v>
                </c:pt>
                <c:pt idx="38">
                  <c:v>560</c:v>
                </c:pt>
                <c:pt idx="39">
                  <c:v>560</c:v>
                </c:pt>
                <c:pt idx="40">
                  <c:v>560</c:v>
                </c:pt>
                <c:pt idx="41">
                  <c:v>560</c:v>
                </c:pt>
                <c:pt idx="42">
                  <c:v>560</c:v>
                </c:pt>
                <c:pt idx="43">
                  <c:v>560</c:v>
                </c:pt>
                <c:pt idx="44">
                  <c:v>560</c:v>
                </c:pt>
                <c:pt idx="45">
                  <c:v>560</c:v>
                </c:pt>
                <c:pt idx="46">
                  <c:v>560</c:v>
                </c:pt>
                <c:pt idx="47">
                  <c:v>560</c:v>
                </c:pt>
                <c:pt idx="48">
                  <c:v>560</c:v>
                </c:pt>
                <c:pt idx="49">
                  <c:v>560</c:v>
                </c:pt>
                <c:pt idx="50">
                  <c:v>560</c:v>
                </c:pt>
                <c:pt idx="51">
                  <c:v>560</c:v>
                </c:pt>
                <c:pt idx="52">
                  <c:v>560</c:v>
                </c:pt>
                <c:pt idx="53">
                  <c:v>560</c:v>
                </c:pt>
                <c:pt idx="54">
                  <c:v>560</c:v>
                </c:pt>
                <c:pt idx="55">
                  <c:v>560</c:v>
                </c:pt>
                <c:pt idx="56">
                  <c:v>560</c:v>
                </c:pt>
                <c:pt idx="57">
                  <c:v>560</c:v>
                </c:pt>
                <c:pt idx="58">
                  <c:v>560</c:v>
                </c:pt>
                <c:pt idx="59">
                  <c:v>560</c:v>
                </c:pt>
                <c:pt idx="60">
                  <c:v>560</c:v>
                </c:pt>
                <c:pt idx="61">
                  <c:v>560</c:v>
                </c:pt>
                <c:pt idx="62">
                  <c:v>560</c:v>
                </c:pt>
                <c:pt idx="63">
                  <c:v>560</c:v>
                </c:pt>
                <c:pt idx="64">
                  <c:v>560</c:v>
                </c:pt>
                <c:pt idx="65">
                  <c:v>560</c:v>
                </c:pt>
                <c:pt idx="66">
                  <c:v>560</c:v>
                </c:pt>
                <c:pt idx="67">
                  <c:v>560</c:v>
                </c:pt>
                <c:pt idx="68">
                  <c:v>560</c:v>
                </c:pt>
                <c:pt idx="69">
                  <c:v>560</c:v>
                </c:pt>
                <c:pt idx="70">
                  <c:v>560</c:v>
                </c:pt>
                <c:pt idx="71">
                  <c:v>560</c:v>
                </c:pt>
                <c:pt idx="72">
                  <c:v>560</c:v>
                </c:pt>
                <c:pt idx="73">
                  <c:v>560</c:v>
                </c:pt>
                <c:pt idx="74">
                  <c:v>560</c:v>
                </c:pt>
                <c:pt idx="75">
                  <c:v>560</c:v>
                </c:pt>
                <c:pt idx="76">
                  <c:v>560</c:v>
                </c:pt>
                <c:pt idx="77">
                  <c:v>560</c:v>
                </c:pt>
                <c:pt idx="78">
                  <c:v>560</c:v>
                </c:pt>
                <c:pt idx="79">
                  <c:v>560</c:v>
                </c:pt>
                <c:pt idx="80">
                  <c:v>560</c:v>
                </c:pt>
                <c:pt idx="81">
                  <c:v>560</c:v>
                </c:pt>
                <c:pt idx="82">
                  <c:v>560</c:v>
                </c:pt>
                <c:pt idx="83">
                  <c:v>560</c:v>
                </c:pt>
                <c:pt idx="84">
                  <c:v>560</c:v>
                </c:pt>
                <c:pt idx="85">
                  <c:v>560</c:v>
                </c:pt>
                <c:pt idx="86">
                  <c:v>560</c:v>
                </c:pt>
                <c:pt idx="87">
                  <c:v>560</c:v>
                </c:pt>
                <c:pt idx="88">
                  <c:v>560</c:v>
                </c:pt>
                <c:pt idx="89">
                  <c:v>560</c:v>
                </c:pt>
                <c:pt idx="90">
                  <c:v>560</c:v>
                </c:pt>
                <c:pt idx="91">
                  <c:v>560</c:v>
                </c:pt>
                <c:pt idx="92">
                  <c:v>560</c:v>
                </c:pt>
                <c:pt idx="93">
                  <c:v>560</c:v>
                </c:pt>
                <c:pt idx="94">
                  <c:v>560</c:v>
                </c:pt>
                <c:pt idx="95">
                  <c:v>560</c:v>
                </c:pt>
                <c:pt idx="96">
                  <c:v>560</c:v>
                </c:pt>
                <c:pt idx="97">
                  <c:v>560</c:v>
                </c:pt>
                <c:pt idx="98">
                  <c:v>560</c:v>
                </c:pt>
                <c:pt idx="99">
                  <c:v>560</c:v>
                </c:pt>
                <c:pt idx="100">
                  <c:v>560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7C1-4251-92CB-1551F2BD2D80}"/>
            </c:ext>
          </c:extLst>
        </c:ser>
        <c:ser>
          <c:idx val="8"/>
          <c:order val="7"/>
          <c:tx>
            <c:v>Feed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'MEBU HPS LTO DAILY Graph'!$D$17:$D$90</c:f>
              <c:numCache>
                <c:formatCode>General</c:formatCode>
                <c:ptCount val="7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</c:numCache>
            </c:numRef>
          </c:xVal>
          <c:yVal>
            <c:numRef>
              <c:f>'MEBU HPS LTO DAILY Graph'!$G$17:$G$90</c:f>
              <c:numCache>
                <c:formatCode>General</c:formatCode>
                <c:ptCount val="74"/>
                <c:pt idx="0">
                  <c:v>375.98</c:v>
                </c:pt>
                <c:pt idx="1">
                  <c:v>402</c:v>
                </c:pt>
                <c:pt idx="2">
                  <c:v>422</c:v>
                </c:pt>
                <c:pt idx="3">
                  <c:v>462</c:v>
                </c:pt>
                <c:pt idx="4">
                  <c:v>489</c:v>
                </c:pt>
                <c:pt idx="5">
                  <c:v>510</c:v>
                </c:pt>
                <c:pt idx="6">
                  <c:v>518</c:v>
                </c:pt>
                <c:pt idx="7">
                  <c:v>525</c:v>
                </c:pt>
                <c:pt idx="8">
                  <c:v>533</c:v>
                </c:pt>
                <c:pt idx="9">
                  <c:v>538</c:v>
                </c:pt>
                <c:pt idx="10">
                  <c:v>543.5</c:v>
                </c:pt>
                <c:pt idx="11">
                  <c:v>548</c:v>
                </c:pt>
                <c:pt idx="12">
                  <c:v>553</c:v>
                </c:pt>
                <c:pt idx="13">
                  <c:v>556</c:v>
                </c:pt>
                <c:pt idx="14">
                  <c:v>560</c:v>
                </c:pt>
                <c:pt idx="15">
                  <c:v>563</c:v>
                </c:pt>
                <c:pt idx="16">
                  <c:v>566</c:v>
                </c:pt>
                <c:pt idx="17">
                  <c:v>569</c:v>
                </c:pt>
                <c:pt idx="18">
                  <c:v>572</c:v>
                </c:pt>
                <c:pt idx="19">
                  <c:v>575</c:v>
                </c:pt>
                <c:pt idx="20">
                  <c:v>578</c:v>
                </c:pt>
                <c:pt idx="21">
                  <c:v>581</c:v>
                </c:pt>
                <c:pt idx="22">
                  <c:v>584</c:v>
                </c:pt>
                <c:pt idx="23">
                  <c:v>587</c:v>
                </c:pt>
                <c:pt idx="24">
                  <c:v>590</c:v>
                </c:pt>
                <c:pt idx="25">
                  <c:v>593</c:v>
                </c:pt>
                <c:pt idx="26">
                  <c:v>595</c:v>
                </c:pt>
                <c:pt idx="27">
                  <c:v>598</c:v>
                </c:pt>
                <c:pt idx="28">
                  <c:v>600</c:v>
                </c:pt>
                <c:pt idx="29">
                  <c:v>602</c:v>
                </c:pt>
                <c:pt idx="30">
                  <c:v>606</c:v>
                </c:pt>
                <c:pt idx="31">
                  <c:v>609</c:v>
                </c:pt>
                <c:pt idx="32">
                  <c:v>611</c:v>
                </c:pt>
                <c:pt idx="33">
                  <c:v>614</c:v>
                </c:pt>
                <c:pt idx="34">
                  <c:v>617</c:v>
                </c:pt>
                <c:pt idx="35">
                  <c:v>620</c:v>
                </c:pt>
                <c:pt idx="36">
                  <c:v>622</c:v>
                </c:pt>
                <c:pt idx="37">
                  <c:v>626</c:v>
                </c:pt>
                <c:pt idx="38">
                  <c:v>630</c:v>
                </c:pt>
                <c:pt idx="39">
                  <c:v>632</c:v>
                </c:pt>
                <c:pt idx="40">
                  <c:v>635</c:v>
                </c:pt>
                <c:pt idx="41">
                  <c:v>638</c:v>
                </c:pt>
                <c:pt idx="42">
                  <c:v>641</c:v>
                </c:pt>
                <c:pt idx="43">
                  <c:v>644</c:v>
                </c:pt>
                <c:pt idx="44">
                  <c:v>647</c:v>
                </c:pt>
                <c:pt idx="45">
                  <c:v>650</c:v>
                </c:pt>
                <c:pt idx="46">
                  <c:v>654</c:v>
                </c:pt>
                <c:pt idx="47">
                  <c:v>657</c:v>
                </c:pt>
                <c:pt idx="48">
                  <c:v>661</c:v>
                </c:pt>
                <c:pt idx="49">
                  <c:v>664</c:v>
                </c:pt>
                <c:pt idx="50">
                  <c:v>667</c:v>
                </c:pt>
                <c:pt idx="51">
                  <c:v>671</c:v>
                </c:pt>
                <c:pt idx="52">
                  <c:v>675</c:v>
                </c:pt>
                <c:pt idx="53">
                  <c:v>678</c:v>
                </c:pt>
                <c:pt idx="54">
                  <c:v>682</c:v>
                </c:pt>
                <c:pt idx="55">
                  <c:v>687</c:v>
                </c:pt>
                <c:pt idx="56">
                  <c:v>691</c:v>
                </c:pt>
                <c:pt idx="57">
                  <c:v>694</c:v>
                </c:pt>
                <c:pt idx="58">
                  <c:v>698</c:v>
                </c:pt>
                <c:pt idx="59">
                  <c:v>702</c:v>
                </c:pt>
                <c:pt idx="60">
                  <c:v>705</c:v>
                </c:pt>
                <c:pt idx="61">
                  <c:v>708</c:v>
                </c:pt>
                <c:pt idx="62">
                  <c:v>713</c:v>
                </c:pt>
                <c:pt idx="63">
                  <c:v>718</c:v>
                </c:pt>
                <c:pt idx="64">
                  <c:v>720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7C1-4251-92CB-1551F2BD2D80}"/>
            </c:ext>
          </c:extLst>
        </c:ser>
        <c:ser>
          <c:idx val="7"/>
          <c:order val="8"/>
          <c:tx>
            <c:strRef>
              <c:f>'MEBU HPS LTO DAILY Graph'!$E$16</c:f>
              <c:strCache>
                <c:ptCount val="1"/>
                <c:pt idx="0">
                  <c:v>500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'MEBU HPS LTO DAILY Graph'!$D$17:$D$117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Graph'!$E$17:$E$117</c:f>
              <c:numCache>
                <c:formatCode>General</c:formatCode>
                <c:ptCount val="101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500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500</c:v>
                </c:pt>
                <c:pt idx="19">
                  <c:v>500</c:v>
                </c:pt>
                <c:pt idx="20">
                  <c:v>500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  <c:pt idx="24">
                  <c:v>500</c:v>
                </c:pt>
                <c:pt idx="25">
                  <c:v>500</c:v>
                </c:pt>
                <c:pt idx="26">
                  <c:v>500</c:v>
                </c:pt>
                <c:pt idx="27">
                  <c:v>500</c:v>
                </c:pt>
                <c:pt idx="28">
                  <c:v>500</c:v>
                </c:pt>
                <c:pt idx="29">
                  <c:v>500</c:v>
                </c:pt>
                <c:pt idx="30">
                  <c:v>500</c:v>
                </c:pt>
                <c:pt idx="31">
                  <c:v>500</c:v>
                </c:pt>
                <c:pt idx="32">
                  <c:v>500</c:v>
                </c:pt>
                <c:pt idx="33">
                  <c:v>500</c:v>
                </c:pt>
                <c:pt idx="34">
                  <c:v>500</c:v>
                </c:pt>
                <c:pt idx="35">
                  <c:v>500</c:v>
                </c:pt>
                <c:pt idx="36">
                  <c:v>500</c:v>
                </c:pt>
                <c:pt idx="37">
                  <c:v>500</c:v>
                </c:pt>
                <c:pt idx="38">
                  <c:v>500</c:v>
                </c:pt>
                <c:pt idx="39">
                  <c:v>500</c:v>
                </c:pt>
                <c:pt idx="40">
                  <c:v>500</c:v>
                </c:pt>
                <c:pt idx="41">
                  <c:v>500</c:v>
                </c:pt>
                <c:pt idx="42">
                  <c:v>500</c:v>
                </c:pt>
                <c:pt idx="43">
                  <c:v>500</c:v>
                </c:pt>
                <c:pt idx="44">
                  <c:v>500</c:v>
                </c:pt>
                <c:pt idx="45">
                  <c:v>500</c:v>
                </c:pt>
                <c:pt idx="46">
                  <c:v>500</c:v>
                </c:pt>
                <c:pt idx="47">
                  <c:v>500</c:v>
                </c:pt>
                <c:pt idx="48">
                  <c:v>500</c:v>
                </c:pt>
                <c:pt idx="49">
                  <c:v>500</c:v>
                </c:pt>
                <c:pt idx="50">
                  <c:v>500</c:v>
                </c:pt>
                <c:pt idx="51">
                  <c:v>500</c:v>
                </c:pt>
                <c:pt idx="52">
                  <c:v>500</c:v>
                </c:pt>
                <c:pt idx="53">
                  <c:v>500</c:v>
                </c:pt>
                <c:pt idx="54">
                  <c:v>500</c:v>
                </c:pt>
                <c:pt idx="55">
                  <c:v>500</c:v>
                </c:pt>
                <c:pt idx="56">
                  <c:v>500</c:v>
                </c:pt>
                <c:pt idx="57">
                  <c:v>500</c:v>
                </c:pt>
                <c:pt idx="58">
                  <c:v>500</c:v>
                </c:pt>
                <c:pt idx="59">
                  <c:v>500</c:v>
                </c:pt>
                <c:pt idx="60">
                  <c:v>500</c:v>
                </c:pt>
                <c:pt idx="61">
                  <c:v>500</c:v>
                </c:pt>
                <c:pt idx="62">
                  <c:v>500</c:v>
                </c:pt>
                <c:pt idx="63">
                  <c:v>500</c:v>
                </c:pt>
                <c:pt idx="64">
                  <c:v>500</c:v>
                </c:pt>
                <c:pt idx="65">
                  <c:v>500</c:v>
                </c:pt>
                <c:pt idx="66">
                  <c:v>500</c:v>
                </c:pt>
                <c:pt idx="67">
                  <c:v>500</c:v>
                </c:pt>
                <c:pt idx="68">
                  <c:v>500</c:v>
                </c:pt>
                <c:pt idx="69">
                  <c:v>500</c:v>
                </c:pt>
                <c:pt idx="70">
                  <c:v>500</c:v>
                </c:pt>
                <c:pt idx="71">
                  <c:v>500</c:v>
                </c:pt>
                <c:pt idx="72">
                  <c:v>500</c:v>
                </c:pt>
                <c:pt idx="73">
                  <c:v>500</c:v>
                </c:pt>
                <c:pt idx="74">
                  <c:v>500</c:v>
                </c:pt>
                <c:pt idx="75">
                  <c:v>500</c:v>
                </c:pt>
                <c:pt idx="76">
                  <c:v>500</c:v>
                </c:pt>
                <c:pt idx="77">
                  <c:v>500</c:v>
                </c:pt>
                <c:pt idx="78">
                  <c:v>500</c:v>
                </c:pt>
                <c:pt idx="79">
                  <c:v>500</c:v>
                </c:pt>
                <c:pt idx="80">
                  <c:v>500</c:v>
                </c:pt>
                <c:pt idx="81">
                  <c:v>500</c:v>
                </c:pt>
                <c:pt idx="82">
                  <c:v>500</c:v>
                </c:pt>
                <c:pt idx="83">
                  <c:v>500</c:v>
                </c:pt>
                <c:pt idx="84">
                  <c:v>500</c:v>
                </c:pt>
                <c:pt idx="85">
                  <c:v>500</c:v>
                </c:pt>
                <c:pt idx="86">
                  <c:v>500</c:v>
                </c:pt>
                <c:pt idx="87">
                  <c:v>500</c:v>
                </c:pt>
                <c:pt idx="88">
                  <c:v>500</c:v>
                </c:pt>
                <c:pt idx="89">
                  <c:v>500</c:v>
                </c:pt>
                <c:pt idx="90">
                  <c:v>500</c:v>
                </c:pt>
                <c:pt idx="91">
                  <c:v>500</c:v>
                </c:pt>
                <c:pt idx="92">
                  <c:v>500</c:v>
                </c:pt>
                <c:pt idx="93">
                  <c:v>500</c:v>
                </c:pt>
                <c:pt idx="94">
                  <c:v>500</c:v>
                </c:pt>
                <c:pt idx="95">
                  <c:v>500</c:v>
                </c:pt>
                <c:pt idx="96">
                  <c:v>500</c:v>
                </c:pt>
                <c:pt idx="97">
                  <c:v>500</c:v>
                </c:pt>
                <c:pt idx="98">
                  <c:v>500</c:v>
                </c:pt>
                <c:pt idx="99">
                  <c:v>500</c:v>
                </c:pt>
                <c:pt idx="100">
                  <c:v>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7C1-4251-92CB-1551F2BD2D80}"/>
            </c:ext>
          </c:extLst>
        </c:ser>
        <c:ser>
          <c:idx val="9"/>
          <c:order val="9"/>
          <c:tx>
            <c:strRef>
              <c:f>'MEBU HPS LTO DAILY Graph'!$L$15</c:f>
              <c:strCache>
                <c:ptCount val="1"/>
                <c:pt idx="0">
                  <c:v>16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'MEBU HPS LTO DAILY Graph'!$D$17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'MEBU HPS LTO DAILY Graph'!$L$17:$L$77</c:f>
              <c:numCache>
                <c:formatCode>General</c:formatCode>
                <c:ptCount val="61"/>
                <c:pt idx="0">
                  <c:v>163</c:v>
                </c:pt>
                <c:pt idx="1">
                  <c:v>195</c:v>
                </c:pt>
                <c:pt idx="2">
                  <c:v>237</c:v>
                </c:pt>
                <c:pt idx="3">
                  <c:v>270</c:v>
                </c:pt>
                <c:pt idx="4">
                  <c:v>297</c:v>
                </c:pt>
                <c:pt idx="5">
                  <c:v>318</c:v>
                </c:pt>
                <c:pt idx="6">
                  <c:v>337</c:v>
                </c:pt>
                <c:pt idx="7">
                  <c:v>353</c:v>
                </c:pt>
                <c:pt idx="8">
                  <c:v>368</c:v>
                </c:pt>
                <c:pt idx="9">
                  <c:v>382</c:v>
                </c:pt>
                <c:pt idx="10">
                  <c:v>394</c:v>
                </c:pt>
                <c:pt idx="11">
                  <c:v>407</c:v>
                </c:pt>
                <c:pt idx="12">
                  <c:v>418</c:v>
                </c:pt>
                <c:pt idx="13">
                  <c:v>429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469</c:v>
                </c:pt>
                <c:pt idx="18">
                  <c:v>478</c:v>
                </c:pt>
                <c:pt idx="19">
                  <c:v>487</c:v>
                </c:pt>
                <c:pt idx="20">
                  <c:v>495</c:v>
                </c:pt>
                <c:pt idx="21">
                  <c:v>502</c:v>
                </c:pt>
                <c:pt idx="22">
                  <c:v>509</c:v>
                </c:pt>
                <c:pt idx="23">
                  <c:v>516</c:v>
                </c:pt>
                <c:pt idx="24">
                  <c:v>523</c:v>
                </c:pt>
                <c:pt idx="25">
                  <c:v>529</c:v>
                </c:pt>
                <c:pt idx="26">
                  <c:v>534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559</c:v>
                </c:pt>
                <c:pt idx="32">
                  <c:v>563</c:v>
                </c:pt>
                <c:pt idx="33">
                  <c:v>567</c:v>
                </c:pt>
                <c:pt idx="34">
                  <c:v>571</c:v>
                </c:pt>
                <c:pt idx="35">
                  <c:v>575</c:v>
                </c:pt>
                <c:pt idx="36">
                  <c:v>579</c:v>
                </c:pt>
                <c:pt idx="37">
                  <c:v>583</c:v>
                </c:pt>
                <c:pt idx="38">
                  <c:v>587</c:v>
                </c:pt>
                <c:pt idx="39">
                  <c:v>591</c:v>
                </c:pt>
                <c:pt idx="40">
                  <c:v>595</c:v>
                </c:pt>
                <c:pt idx="41">
                  <c:v>599</c:v>
                </c:pt>
                <c:pt idx="42">
                  <c:v>604</c:v>
                </c:pt>
                <c:pt idx="43">
                  <c:v>608</c:v>
                </c:pt>
                <c:pt idx="44">
                  <c:v>613</c:v>
                </c:pt>
                <c:pt idx="45">
                  <c:v>617</c:v>
                </c:pt>
                <c:pt idx="46">
                  <c:v>622</c:v>
                </c:pt>
                <c:pt idx="47">
                  <c:v>627</c:v>
                </c:pt>
                <c:pt idx="48">
                  <c:v>632</c:v>
                </c:pt>
                <c:pt idx="49">
                  <c:v>637</c:v>
                </c:pt>
                <c:pt idx="50">
                  <c:v>642</c:v>
                </c:pt>
                <c:pt idx="51">
                  <c:v>648</c:v>
                </c:pt>
                <c:pt idx="52">
                  <c:v>653</c:v>
                </c:pt>
                <c:pt idx="53">
                  <c:v>659</c:v>
                </c:pt>
                <c:pt idx="54">
                  <c:v>667</c:v>
                </c:pt>
                <c:pt idx="55">
                  <c:v>674</c:v>
                </c:pt>
                <c:pt idx="56">
                  <c:v>683</c:v>
                </c:pt>
                <c:pt idx="57">
                  <c:v>691</c:v>
                </c:pt>
                <c:pt idx="58">
                  <c:v>699</c:v>
                </c:pt>
                <c:pt idx="59">
                  <c:v>708</c:v>
                </c:pt>
                <c:pt idx="60">
                  <c:v>719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7C1-4251-92CB-1551F2BD2D80}"/>
            </c:ext>
          </c:extLst>
        </c:ser>
        <c:ser>
          <c:idx val="10"/>
          <c:order val="10"/>
          <c:tx>
            <c:strRef>
              <c:f>'MEBU HPS LTO DAILY Graph'!$M$15</c:f>
              <c:strCache>
                <c:ptCount val="1"/>
                <c:pt idx="0">
                  <c:v>16-17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'MEBU HPS LTO DAILY Graph'!$D$17:$D$90</c:f>
              <c:numCache>
                <c:formatCode>General</c:formatCode>
                <c:ptCount val="7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</c:numCache>
            </c:numRef>
          </c:xVal>
          <c:yVal>
            <c:numRef>
              <c:f>'MEBU HPS LTO DAILY Graph'!$M$17:$M$79</c:f>
              <c:numCache>
                <c:formatCode>General</c:formatCode>
                <c:ptCount val="63"/>
                <c:pt idx="0">
                  <c:v>166</c:v>
                </c:pt>
                <c:pt idx="1">
                  <c:v>197</c:v>
                </c:pt>
                <c:pt idx="2">
                  <c:v>240</c:v>
                </c:pt>
                <c:pt idx="3">
                  <c:v>271</c:v>
                </c:pt>
                <c:pt idx="4">
                  <c:v>298</c:v>
                </c:pt>
                <c:pt idx="5">
                  <c:v>318</c:v>
                </c:pt>
                <c:pt idx="6">
                  <c:v>336</c:v>
                </c:pt>
                <c:pt idx="7">
                  <c:v>352</c:v>
                </c:pt>
                <c:pt idx="8">
                  <c:v>367</c:v>
                </c:pt>
                <c:pt idx="9">
                  <c:v>380</c:v>
                </c:pt>
                <c:pt idx="10">
                  <c:v>392</c:v>
                </c:pt>
                <c:pt idx="11">
                  <c:v>404</c:v>
                </c:pt>
                <c:pt idx="12">
                  <c:v>416</c:v>
                </c:pt>
                <c:pt idx="13">
                  <c:v>427</c:v>
                </c:pt>
                <c:pt idx="14">
                  <c:v>437</c:v>
                </c:pt>
                <c:pt idx="15">
                  <c:v>447</c:v>
                </c:pt>
                <c:pt idx="16">
                  <c:v>457</c:v>
                </c:pt>
                <c:pt idx="17">
                  <c:v>466</c:v>
                </c:pt>
                <c:pt idx="18">
                  <c:v>475</c:v>
                </c:pt>
                <c:pt idx="19">
                  <c:v>483</c:v>
                </c:pt>
                <c:pt idx="20">
                  <c:v>491</c:v>
                </c:pt>
                <c:pt idx="21">
                  <c:v>499</c:v>
                </c:pt>
                <c:pt idx="22">
                  <c:v>506</c:v>
                </c:pt>
                <c:pt idx="23">
                  <c:v>513</c:v>
                </c:pt>
                <c:pt idx="24">
                  <c:v>519</c:v>
                </c:pt>
                <c:pt idx="25">
                  <c:v>525</c:v>
                </c:pt>
                <c:pt idx="26">
                  <c:v>531</c:v>
                </c:pt>
                <c:pt idx="27">
                  <c:v>536</c:v>
                </c:pt>
                <c:pt idx="28">
                  <c:v>541</c:v>
                </c:pt>
                <c:pt idx="29">
                  <c:v>546</c:v>
                </c:pt>
                <c:pt idx="30">
                  <c:v>551</c:v>
                </c:pt>
                <c:pt idx="31">
                  <c:v>555</c:v>
                </c:pt>
                <c:pt idx="32">
                  <c:v>560</c:v>
                </c:pt>
                <c:pt idx="33">
                  <c:v>564</c:v>
                </c:pt>
                <c:pt idx="34">
                  <c:v>568</c:v>
                </c:pt>
                <c:pt idx="35">
                  <c:v>571</c:v>
                </c:pt>
                <c:pt idx="36">
                  <c:v>575</c:v>
                </c:pt>
                <c:pt idx="37">
                  <c:v>579</c:v>
                </c:pt>
                <c:pt idx="38">
                  <c:v>583</c:v>
                </c:pt>
                <c:pt idx="39">
                  <c:v>587</c:v>
                </c:pt>
                <c:pt idx="40">
                  <c:v>591</c:v>
                </c:pt>
                <c:pt idx="41">
                  <c:v>595</c:v>
                </c:pt>
                <c:pt idx="42">
                  <c:v>598</c:v>
                </c:pt>
                <c:pt idx="43">
                  <c:v>603</c:v>
                </c:pt>
                <c:pt idx="44">
                  <c:v>607</c:v>
                </c:pt>
                <c:pt idx="45">
                  <c:v>611</c:v>
                </c:pt>
                <c:pt idx="46">
                  <c:v>615</c:v>
                </c:pt>
                <c:pt idx="47">
                  <c:v>620</c:v>
                </c:pt>
                <c:pt idx="48">
                  <c:v>624</c:v>
                </c:pt>
                <c:pt idx="49">
                  <c:v>629</c:v>
                </c:pt>
                <c:pt idx="50">
                  <c:v>634</c:v>
                </c:pt>
                <c:pt idx="51">
                  <c:v>639</c:v>
                </c:pt>
                <c:pt idx="52">
                  <c:v>644</c:v>
                </c:pt>
                <c:pt idx="53">
                  <c:v>649</c:v>
                </c:pt>
                <c:pt idx="54">
                  <c:v>655</c:v>
                </c:pt>
                <c:pt idx="55">
                  <c:v>661</c:v>
                </c:pt>
                <c:pt idx="56">
                  <c:v>668</c:v>
                </c:pt>
                <c:pt idx="57">
                  <c:v>674</c:v>
                </c:pt>
                <c:pt idx="58">
                  <c:v>682</c:v>
                </c:pt>
                <c:pt idx="59">
                  <c:v>690</c:v>
                </c:pt>
                <c:pt idx="60">
                  <c:v>698</c:v>
                </c:pt>
                <c:pt idx="61">
                  <c:v>706</c:v>
                </c:pt>
                <c:pt idx="62">
                  <c:v>716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7C1-4251-92CB-1551F2BD2D80}"/>
            </c:ext>
          </c:extLst>
        </c:ser>
        <c:ser>
          <c:idx val="11"/>
          <c:order val="11"/>
          <c:tx>
            <c:v>DAY 1</c:v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'MEBU HPS LTO DAILY Graph'!$D$17:$D$96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xVal>
          <c:yVal>
            <c:numRef>
              <c:f>'MEBU HPS LTO DAILY Graph'!$N$17:$N$96</c:f>
              <c:numCache>
                <c:formatCode>General</c:formatCode>
                <c:ptCount val="8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7C1-4251-92CB-1551F2BD2D80}"/>
            </c:ext>
          </c:extLst>
        </c:ser>
        <c:ser>
          <c:idx val="12"/>
          <c:order val="12"/>
          <c:tx>
            <c:strRef>
              <c:f>'MEBU HPS LTO DAILY Graph'!$O$14</c:f>
              <c:strCache>
                <c:ptCount val="1"/>
                <c:pt idx="0">
                  <c:v>DAY2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'MEBU HPS LTO DAILY Graph'!$D$17:$D$117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Graph'!$O$17:$O$103</c:f>
              <c:numCache>
                <c:formatCode>General</c:formatCode>
                <c:ptCount val="87"/>
                <c:pt idx="0">
                  <c:v>94.4</c:v>
                </c:pt>
                <c:pt idx="1">
                  <c:v>119.27</c:v>
                </c:pt>
                <c:pt idx="2">
                  <c:v>148.83000000000001</c:v>
                </c:pt>
                <c:pt idx="3">
                  <c:v>170.14</c:v>
                </c:pt>
                <c:pt idx="4">
                  <c:v>185.01</c:v>
                </c:pt>
                <c:pt idx="5">
                  <c:v>199.54</c:v>
                </c:pt>
                <c:pt idx="6">
                  <c:v>211.85</c:v>
                </c:pt>
                <c:pt idx="7">
                  <c:v>222.31</c:v>
                </c:pt>
                <c:pt idx="8">
                  <c:v>232.37</c:v>
                </c:pt>
                <c:pt idx="9">
                  <c:v>242.16</c:v>
                </c:pt>
                <c:pt idx="10">
                  <c:v>251.34</c:v>
                </c:pt>
                <c:pt idx="11">
                  <c:v>259.73</c:v>
                </c:pt>
                <c:pt idx="12">
                  <c:v>268.02</c:v>
                </c:pt>
                <c:pt idx="13">
                  <c:v>275.39999999999998</c:v>
                </c:pt>
                <c:pt idx="14">
                  <c:v>282.79000000000002</c:v>
                </c:pt>
                <c:pt idx="15">
                  <c:v>289.75</c:v>
                </c:pt>
                <c:pt idx="16">
                  <c:v>296.07</c:v>
                </c:pt>
                <c:pt idx="17">
                  <c:v>301.81</c:v>
                </c:pt>
                <c:pt idx="18">
                  <c:v>308.24</c:v>
                </c:pt>
                <c:pt idx="19">
                  <c:v>314.02</c:v>
                </c:pt>
                <c:pt idx="20">
                  <c:v>319.83999999999997</c:v>
                </c:pt>
                <c:pt idx="21">
                  <c:v>325.8</c:v>
                </c:pt>
                <c:pt idx="22">
                  <c:v>330.94</c:v>
                </c:pt>
                <c:pt idx="23">
                  <c:v>336.61</c:v>
                </c:pt>
                <c:pt idx="24">
                  <c:v>341.85</c:v>
                </c:pt>
                <c:pt idx="25">
                  <c:v>346.94</c:v>
                </c:pt>
                <c:pt idx="26">
                  <c:v>352.09</c:v>
                </c:pt>
                <c:pt idx="27">
                  <c:v>356.68</c:v>
                </c:pt>
                <c:pt idx="28">
                  <c:v>361.55</c:v>
                </c:pt>
                <c:pt idx="29">
                  <c:v>366.32</c:v>
                </c:pt>
                <c:pt idx="30">
                  <c:v>371.15</c:v>
                </c:pt>
                <c:pt idx="31">
                  <c:v>375.92</c:v>
                </c:pt>
                <c:pt idx="32">
                  <c:v>380.32</c:v>
                </c:pt>
                <c:pt idx="33">
                  <c:v>385.18</c:v>
                </c:pt>
                <c:pt idx="34">
                  <c:v>389.65</c:v>
                </c:pt>
                <c:pt idx="35">
                  <c:v>394.33</c:v>
                </c:pt>
                <c:pt idx="36">
                  <c:v>398.8</c:v>
                </c:pt>
                <c:pt idx="37">
                  <c:v>403.16</c:v>
                </c:pt>
                <c:pt idx="38">
                  <c:v>407.81</c:v>
                </c:pt>
                <c:pt idx="39">
                  <c:v>412.14</c:v>
                </c:pt>
                <c:pt idx="40">
                  <c:v>416.68</c:v>
                </c:pt>
                <c:pt idx="41">
                  <c:v>421.11</c:v>
                </c:pt>
                <c:pt idx="42">
                  <c:v>425.75</c:v>
                </c:pt>
                <c:pt idx="43">
                  <c:v>430.29</c:v>
                </c:pt>
                <c:pt idx="44">
                  <c:v>434.99</c:v>
                </c:pt>
                <c:pt idx="45">
                  <c:v>439.45</c:v>
                </c:pt>
                <c:pt idx="46">
                  <c:v>444.1</c:v>
                </c:pt>
                <c:pt idx="47">
                  <c:v>448.54</c:v>
                </c:pt>
                <c:pt idx="48">
                  <c:v>453.22</c:v>
                </c:pt>
                <c:pt idx="49">
                  <c:v>457.79</c:v>
                </c:pt>
                <c:pt idx="50">
                  <c:v>462.33</c:v>
                </c:pt>
                <c:pt idx="51">
                  <c:v>466.92</c:v>
                </c:pt>
                <c:pt idx="52">
                  <c:v>471.35</c:v>
                </c:pt>
                <c:pt idx="53">
                  <c:v>475.79</c:v>
                </c:pt>
                <c:pt idx="54">
                  <c:v>480.27</c:v>
                </c:pt>
                <c:pt idx="55">
                  <c:v>484.77</c:v>
                </c:pt>
                <c:pt idx="56">
                  <c:v>489.24</c:v>
                </c:pt>
                <c:pt idx="57">
                  <c:v>493.72</c:v>
                </c:pt>
                <c:pt idx="58">
                  <c:v>498.17</c:v>
                </c:pt>
                <c:pt idx="59">
                  <c:v>502.45</c:v>
                </c:pt>
                <c:pt idx="60">
                  <c:v>506.8</c:v>
                </c:pt>
                <c:pt idx="61">
                  <c:v>511.15</c:v>
                </c:pt>
                <c:pt idx="62">
                  <c:v>515.47</c:v>
                </c:pt>
                <c:pt idx="63">
                  <c:v>519.83000000000004</c:v>
                </c:pt>
                <c:pt idx="64">
                  <c:v>524.13</c:v>
                </c:pt>
                <c:pt idx="65">
                  <c:v>528.32000000000005</c:v>
                </c:pt>
                <c:pt idx="66">
                  <c:v>532.51</c:v>
                </c:pt>
                <c:pt idx="67">
                  <c:v>536.73</c:v>
                </c:pt>
                <c:pt idx="68">
                  <c:v>540.92999999999995</c:v>
                </c:pt>
                <c:pt idx="69">
                  <c:v>545.11</c:v>
                </c:pt>
                <c:pt idx="70">
                  <c:v>549.33000000000004</c:v>
                </c:pt>
                <c:pt idx="71">
                  <c:v>553.55999999999995</c:v>
                </c:pt>
                <c:pt idx="72">
                  <c:v>557.67999999999995</c:v>
                </c:pt>
                <c:pt idx="73">
                  <c:v>561.69000000000005</c:v>
                </c:pt>
                <c:pt idx="74">
                  <c:v>565.72</c:v>
                </c:pt>
                <c:pt idx="75">
                  <c:v>569.84</c:v>
                </c:pt>
                <c:pt idx="76">
                  <c:v>574.04999999999995</c:v>
                </c:pt>
                <c:pt idx="77">
                  <c:v>578.45000000000005</c:v>
                </c:pt>
                <c:pt idx="78">
                  <c:v>583</c:v>
                </c:pt>
                <c:pt idx="79">
                  <c:v>587.49</c:v>
                </c:pt>
                <c:pt idx="80">
                  <c:v>592.11</c:v>
                </c:pt>
                <c:pt idx="81">
                  <c:v>596.92999999999995</c:v>
                </c:pt>
                <c:pt idx="82">
                  <c:v>602.04</c:v>
                </c:pt>
                <c:pt idx="83">
                  <c:v>607.49</c:v>
                </c:pt>
                <c:pt idx="84">
                  <c:v>613.19000000000005</c:v>
                </c:pt>
                <c:pt idx="85">
                  <c:v>619.12</c:v>
                </c:pt>
                <c:pt idx="86">
                  <c:v>625.39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7C1-4251-92CB-1551F2BD2D80}"/>
            </c:ext>
          </c:extLst>
        </c:ser>
        <c:ser>
          <c:idx val="13"/>
          <c:order val="13"/>
          <c:tx>
            <c:strRef>
              <c:f>'MEBU HPS LTO DAILY Graph'!$P$14</c:f>
              <c:strCache>
                <c:ptCount val="1"/>
                <c:pt idx="0">
                  <c:v>DAY3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'MEBU HPS LTO DAILY Graph'!$D$17:$D$117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Graph'!$P$17:$P$117</c:f>
              <c:numCache>
                <c:formatCode>General</c:formatCode>
                <c:ptCount val="101"/>
                <c:pt idx="0">
                  <c:v>97.26</c:v>
                </c:pt>
                <c:pt idx="1">
                  <c:v>122.15</c:v>
                </c:pt>
                <c:pt idx="2">
                  <c:v>154.13999999999999</c:v>
                </c:pt>
                <c:pt idx="3">
                  <c:v>173.44</c:v>
                </c:pt>
                <c:pt idx="4">
                  <c:v>190.25</c:v>
                </c:pt>
                <c:pt idx="5">
                  <c:v>203.42</c:v>
                </c:pt>
                <c:pt idx="6">
                  <c:v>215.86</c:v>
                </c:pt>
                <c:pt idx="7">
                  <c:v>226.8</c:v>
                </c:pt>
                <c:pt idx="8">
                  <c:v>236.7</c:v>
                </c:pt>
                <c:pt idx="9">
                  <c:v>247.63</c:v>
                </c:pt>
                <c:pt idx="10">
                  <c:v>256.39</c:v>
                </c:pt>
                <c:pt idx="11">
                  <c:v>265.20999999999998</c:v>
                </c:pt>
                <c:pt idx="12">
                  <c:v>273.23</c:v>
                </c:pt>
                <c:pt idx="13">
                  <c:v>281.17</c:v>
                </c:pt>
                <c:pt idx="14">
                  <c:v>288.68</c:v>
                </c:pt>
                <c:pt idx="15">
                  <c:v>295.58</c:v>
                </c:pt>
                <c:pt idx="16">
                  <c:v>301.73</c:v>
                </c:pt>
                <c:pt idx="17">
                  <c:v>308.52999999999997</c:v>
                </c:pt>
                <c:pt idx="18">
                  <c:v>314.43</c:v>
                </c:pt>
                <c:pt idx="19">
                  <c:v>320.76</c:v>
                </c:pt>
                <c:pt idx="20">
                  <c:v>327.08999999999997</c:v>
                </c:pt>
                <c:pt idx="21">
                  <c:v>332.57</c:v>
                </c:pt>
                <c:pt idx="22">
                  <c:v>338.35</c:v>
                </c:pt>
                <c:pt idx="23">
                  <c:v>343.58</c:v>
                </c:pt>
                <c:pt idx="24">
                  <c:v>349.13</c:v>
                </c:pt>
                <c:pt idx="25">
                  <c:v>354.33</c:v>
                </c:pt>
                <c:pt idx="26">
                  <c:v>359.45</c:v>
                </c:pt>
                <c:pt idx="27">
                  <c:v>364.34</c:v>
                </c:pt>
                <c:pt idx="28">
                  <c:v>369.2</c:v>
                </c:pt>
                <c:pt idx="29">
                  <c:v>374.25</c:v>
                </c:pt>
                <c:pt idx="30">
                  <c:v>378.86</c:v>
                </c:pt>
                <c:pt idx="31">
                  <c:v>383.9</c:v>
                </c:pt>
                <c:pt idx="32">
                  <c:v>388.7</c:v>
                </c:pt>
                <c:pt idx="33">
                  <c:v>393.42</c:v>
                </c:pt>
                <c:pt idx="34">
                  <c:v>398.17</c:v>
                </c:pt>
                <c:pt idx="35">
                  <c:v>402.57</c:v>
                </c:pt>
                <c:pt idx="36">
                  <c:v>407.41</c:v>
                </c:pt>
                <c:pt idx="37">
                  <c:v>411.91</c:v>
                </c:pt>
                <c:pt idx="38">
                  <c:v>416.63</c:v>
                </c:pt>
                <c:pt idx="39">
                  <c:v>421.22</c:v>
                </c:pt>
                <c:pt idx="40">
                  <c:v>425.72</c:v>
                </c:pt>
                <c:pt idx="41">
                  <c:v>430.37</c:v>
                </c:pt>
                <c:pt idx="42">
                  <c:v>435.22</c:v>
                </c:pt>
                <c:pt idx="43">
                  <c:v>439.82</c:v>
                </c:pt>
                <c:pt idx="44">
                  <c:v>444.6</c:v>
                </c:pt>
                <c:pt idx="45">
                  <c:v>449.15</c:v>
                </c:pt>
                <c:pt idx="46">
                  <c:v>453.98</c:v>
                </c:pt>
                <c:pt idx="47">
                  <c:v>458.68</c:v>
                </c:pt>
                <c:pt idx="48">
                  <c:v>463.34</c:v>
                </c:pt>
                <c:pt idx="49">
                  <c:v>468.03</c:v>
                </c:pt>
                <c:pt idx="50">
                  <c:v>472.52</c:v>
                </c:pt>
                <c:pt idx="51">
                  <c:v>477.15</c:v>
                </c:pt>
                <c:pt idx="52">
                  <c:v>481.73</c:v>
                </c:pt>
                <c:pt idx="53">
                  <c:v>486.34</c:v>
                </c:pt>
                <c:pt idx="54">
                  <c:v>490.97</c:v>
                </c:pt>
                <c:pt idx="55">
                  <c:v>495.52</c:v>
                </c:pt>
                <c:pt idx="56">
                  <c:v>500.01</c:v>
                </c:pt>
                <c:pt idx="57">
                  <c:v>504.41</c:v>
                </c:pt>
                <c:pt idx="58">
                  <c:v>508.8</c:v>
                </c:pt>
                <c:pt idx="59">
                  <c:v>513.23</c:v>
                </c:pt>
                <c:pt idx="60">
                  <c:v>517.64</c:v>
                </c:pt>
                <c:pt idx="61">
                  <c:v>522.02</c:v>
                </c:pt>
                <c:pt idx="62">
                  <c:v>526.29</c:v>
                </c:pt>
                <c:pt idx="63">
                  <c:v>530.55999999999995</c:v>
                </c:pt>
                <c:pt idx="64">
                  <c:v>534.79</c:v>
                </c:pt>
                <c:pt idx="65">
                  <c:v>539.03</c:v>
                </c:pt>
                <c:pt idx="66">
                  <c:v>543.24</c:v>
                </c:pt>
                <c:pt idx="67">
                  <c:v>547.48</c:v>
                </c:pt>
                <c:pt idx="68">
                  <c:v>551.72</c:v>
                </c:pt>
                <c:pt idx="69">
                  <c:v>555.95000000000005</c:v>
                </c:pt>
                <c:pt idx="70">
                  <c:v>559.91999999999996</c:v>
                </c:pt>
                <c:pt idx="71">
                  <c:v>563.94000000000005</c:v>
                </c:pt>
                <c:pt idx="72">
                  <c:v>568.01</c:v>
                </c:pt>
                <c:pt idx="73">
                  <c:v>572.16</c:v>
                </c:pt>
                <c:pt idx="74">
                  <c:v>576.42999999999995</c:v>
                </c:pt>
                <c:pt idx="75">
                  <c:v>580.87</c:v>
                </c:pt>
                <c:pt idx="76">
                  <c:v>585.37</c:v>
                </c:pt>
                <c:pt idx="77">
                  <c:v>589.85</c:v>
                </c:pt>
                <c:pt idx="78">
                  <c:v>594.52</c:v>
                </c:pt>
                <c:pt idx="79">
                  <c:v>599.4</c:v>
                </c:pt>
                <c:pt idx="80">
                  <c:v>604.59</c:v>
                </c:pt>
                <c:pt idx="81">
                  <c:v>610.08000000000004</c:v>
                </c:pt>
                <c:pt idx="82">
                  <c:v>615.77</c:v>
                </c:pt>
                <c:pt idx="83">
                  <c:v>621.67999999999995</c:v>
                </c:pt>
                <c:pt idx="84">
                  <c:v>627.92999999999995</c:v>
                </c:pt>
                <c:pt idx="85">
                  <c:v>634.57000000000005</c:v>
                </c:pt>
                <c:pt idx="86">
                  <c:v>641.54</c:v>
                </c:pt>
                <c:pt idx="87">
                  <c:v>649.09</c:v>
                </c:pt>
                <c:pt idx="88">
                  <c:v>657.37</c:v>
                </c:pt>
                <c:pt idx="89">
                  <c:v>666.4</c:v>
                </c:pt>
                <c:pt idx="90">
                  <c:v>676.07</c:v>
                </c:pt>
                <c:pt idx="91">
                  <c:v>686.95</c:v>
                </c:pt>
                <c:pt idx="92">
                  <c:v>697.83</c:v>
                </c:pt>
                <c:pt idx="93">
                  <c:v>708.49</c:v>
                </c:pt>
                <c:pt idx="94">
                  <c:v>720.1</c:v>
                </c:pt>
                <c:pt idx="95">
                  <c:v>722.84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96-4EAE-8734-609D801506D2}"/>
            </c:ext>
          </c:extLst>
        </c:ser>
        <c:ser>
          <c:idx val="14"/>
          <c:order val="14"/>
          <c:tx>
            <c:strRef>
              <c:f>'MEBU HPS LTO DAILY Graph'!$Q$14</c:f>
              <c:strCache>
                <c:ptCount val="1"/>
                <c:pt idx="0">
                  <c:v>DAY4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'MEBU HPS LTO DAILY Graph'!$D$17:$D$108</c:f>
              <c:numCache>
                <c:formatCode>General</c:formatCode>
                <c:ptCount val="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</c:numCache>
            </c:numRef>
          </c:xVal>
          <c:yVal>
            <c:numRef>
              <c:f>'MEBU HPS LTO DAILY Graph'!$Q$17:$Q$108</c:f>
              <c:numCache>
                <c:formatCode>General</c:formatCode>
                <c:ptCount val="92"/>
                <c:pt idx="0">
                  <c:v>95.55</c:v>
                </c:pt>
                <c:pt idx="1">
                  <c:v>121.33</c:v>
                </c:pt>
                <c:pt idx="2">
                  <c:v>152.68</c:v>
                </c:pt>
                <c:pt idx="3">
                  <c:v>172.57</c:v>
                </c:pt>
                <c:pt idx="4">
                  <c:v>189.45</c:v>
                </c:pt>
                <c:pt idx="5">
                  <c:v>203.23</c:v>
                </c:pt>
                <c:pt idx="6">
                  <c:v>215.87</c:v>
                </c:pt>
                <c:pt idx="7">
                  <c:v>226.97</c:v>
                </c:pt>
                <c:pt idx="8">
                  <c:v>237.07</c:v>
                </c:pt>
                <c:pt idx="9">
                  <c:v>248.03</c:v>
                </c:pt>
                <c:pt idx="10">
                  <c:v>256.95999999999998</c:v>
                </c:pt>
                <c:pt idx="11">
                  <c:v>265.81</c:v>
                </c:pt>
                <c:pt idx="12">
                  <c:v>273.86</c:v>
                </c:pt>
                <c:pt idx="13">
                  <c:v>281.76</c:v>
                </c:pt>
                <c:pt idx="14">
                  <c:v>289.23</c:v>
                </c:pt>
                <c:pt idx="15">
                  <c:v>296.06</c:v>
                </c:pt>
                <c:pt idx="16">
                  <c:v>302.16000000000003</c:v>
                </c:pt>
                <c:pt idx="17">
                  <c:v>308.88</c:v>
                </c:pt>
                <c:pt idx="18">
                  <c:v>314.67</c:v>
                </c:pt>
                <c:pt idx="19">
                  <c:v>321.02999999999997</c:v>
                </c:pt>
                <c:pt idx="20">
                  <c:v>327.3</c:v>
                </c:pt>
                <c:pt idx="21">
                  <c:v>332.78</c:v>
                </c:pt>
                <c:pt idx="22">
                  <c:v>338.53</c:v>
                </c:pt>
                <c:pt idx="23">
                  <c:v>343.73</c:v>
                </c:pt>
                <c:pt idx="24">
                  <c:v>349.23</c:v>
                </c:pt>
                <c:pt idx="25">
                  <c:v>354.39</c:v>
                </c:pt>
                <c:pt idx="26">
                  <c:v>359.48</c:v>
                </c:pt>
                <c:pt idx="27">
                  <c:v>364.34</c:v>
                </c:pt>
                <c:pt idx="28">
                  <c:v>369.2</c:v>
                </c:pt>
                <c:pt idx="29">
                  <c:v>374.25</c:v>
                </c:pt>
                <c:pt idx="30">
                  <c:v>378.86</c:v>
                </c:pt>
                <c:pt idx="31">
                  <c:v>383.9</c:v>
                </c:pt>
                <c:pt idx="32">
                  <c:v>388.7</c:v>
                </c:pt>
                <c:pt idx="33">
                  <c:v>393.42</c:v>
                </c:pt>
                <c:pt idx="34">
                  <c:v>398.17</c:v>
                </c:pt>
                <c:pt idx="35">
                  <c:v>402.57</c:v>
                </c:pt>
                <c:pt idx="36">
                  <c:v>407.41</c:v>
                </c:pt>
                <c:pt idx="37">
                  <c:v>411.91</c:v>
                </c:pt>
                <c:pt idx="38">
                  <c:v>416.63</c:v>
                </c:pt>
                <c:pt idx="39">
                  <c:v>421.22</c:v>
                </c:pt>
                <c:pt idx="40">
                  <c:v>425.72</c:v>
                </c:pt>
                <c:pt idx="41">
                  <c:v>430.37</c:v>
                </c:pt>
                <c:pt idx="42">
                  <c:v>435.22</c:v>
                </c:pt>
                <c:pt idx="43">
                  <c:v>439.82</c:v>
                </c:pt>
                <c:pt idx="44">
                  <c:v>444.6</c:v>
                </c:pt>
                <c:pt idx="45">
                  <c:v>449.15</c:v>
                </c:pt>
                <c:pt idx="46">
                  <c:v>453.98</c:v>
                </c:pt>
                <c:pt idx="47">
                  <c:v>458.68</c:v>
                </c:pt>
                <c:pt idx="48">
                  <c:v>463.34</c:v>
                </c:pt>
                <c:pt idx="49">
                  <c:v>468.03</c:v>
                </c:pt>
                <c:pt idx="50">
                  <c:v>472.52</c:v>
                </c:pt>
                <c:pt idx="51">
                  <c:v>477.15</c:v>
                </c:pt>
                <c:pt idx="52">
                  <c:v>481.73</c:v>
                </c:pt>
                <c:pt idx="53">
                  <c:v>486.34</c:v>
                </c:pt>
                <c:pt idx="54">
                  <c:v>490.97</c:v>
                </c:pt>
                <c:pt idx="55">
                  <c:v>495.52</c:v>
                </c:pt>
                <c:pt idx="56">
                  <c:v>500.01</c:v>
                </c:pt>
                <c:pt idx="57">
                  <c:v>504.41</c:v>
                </c:pt>
                <c:pt idx="58">
                  <c:v>508.8</c:v>
                </c:pt>
                <c:pt idx="59">
                  <c:v>513.23</c:v>
                </c:pt>
                <c:pt idx="60">
                  <c:v>517.64</c:v>
                </c:pt>
                <c:pt idx="61">
                  <c:v>522.02</c:v>
                </c:pt>
                <c:pt idx="62">
                  <c:v>526.29</c:v>
                </c:pt>
                <c:pt idx="63">
                  <c:v>530.55999999999995</c:v>
                </c:pt>
                <c:pt idx="64">
                  <c:v>534.79</c:v>
                </c:pt>
                <c:pt idx="65">
                  <c:v>539.03</c:v>
                </c:pt>
                <c:pt idx="66">
                  <c:v>543.24</c:v>
                </c:pt>
                <c:pt idx="67">
                  <c:v>547.48</c:v>
                </c:pt>
                <c:pt idx="68">
                  <c:v>551.72</c:v>
                </c:pt>
                <c:pt idx="69">
                  <c:v>555.95000000000005</c:v>
                </c:pt>
                <c:pt idx="70">
                  <c:v>559.91999999999996</c:v>
                </c:pt>
                <c:pt idx="71">
                  <c:v>563.94000000000005</c:v>
                </c:pt>
                <c:pt idx="72">
                  <c:v>568.01</c:v>
                </c:pt>
                <c:pt idx="73">
                  <c:v>572.16</c:v>
                </c:pt>
                <c:pt idx="74">
                  <c:v>576.42999999999995</c:v>
                </c:pt>
                <c:pt idx="75">
                  <c:v>580.87</c:v>
                </c:pt>
                <c:pt idx="76">
                  <c:v>585.37</c:v>
                </c:pt>
                <c:pt idx="77">
                  <c:v>589.85</c:v>
                </c:pt>
                <c:pt idx="78">
                  <c:v>594.52</c:v>
                </c:pt>
                <c:pt idx="79">
                  <c:v>599.4</c:v>
                </c:pt>
                <c:pt idx="80">
                  <c:v>604.59</c:v>
                </c:pt>
                <c:pt idx="81">
                  <c:v>610.08000000000004</c:v>
                </c:pt>
                <c:pt idx="82">
                  <c:v>615.77</c:v>
                </c:pt>
                <c:pt idx="83">
                  <c:v>621.67999999999995</c:v>
                </c:pt>
                <c:pt idx="84">
                  <c:v>627.92999999999995</c:v>
                </c:pt>
                <c:pt idx="85">
                  <c:v>634.57000000000005</c:v>
                </c:pt>
                <c:pt idx="86">
                  <c:v>641.54</c:v>
                </c:pt>
                <c:pt idx="87">
                  <c:v>649.09</c:v>
                </c:pt>
                <c:pt idx="88">
                  <c:v>657.37</c:v>
                </c:pt>
                <c:pt idx="89">
                  <c:v>666.4</c:v>
                </c:pt>
                <c:pt idx="90">
                  <c:v>676.07</c:v>
                </c:pt>
                <c:pt idx="91">
                  <c:v>686.95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9D-47E8-95D4-677AC3D3DCEE}"/>
            </c:ext>
          </c:extLst>
        </c:ser>
        <c:ser>
          <c:idx val="15"/>
          <c:order val="15"/>
          <c:tx>
            <c:strRef>
              <c:f>'MEBU HPS LTO DAILY Graph'!$R$14</c:f>
              <c:strCache>
                <c:ptCount val="1"/>
                <c:pt idx="0">
                  <c:v>DAY5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'MEBU HPS LTO DAILY Graph'!$D$17:$D$117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Graph'!$R$17:$R$117</c:f>
              <c:numCache>
                <c:formatCode>General</c:formatCode>
                <c:ptCount val="101"/>
                <c:pt idx="0">
                  <c:v>99.9</c:v>
                </c:pt>
                <c:pt idx="1">
                  <c:v>127.72</c:v>
                </c:pt>
                <c:pt idx="2">
                  <c:v>158.43</c:v>
                </c:pt>
                <c:pt idx="3">
                  <c:v>177.31</c:v>
                </c:pt>
                <c:pt idx="4">
                  <c:v>194.12</c:v>
                </c:pt>
                <c:pt idx="5">
                  <c:v>207.74</c:v>
                </c:pt>
                <c:pt idx="6">
                  <c:v>220.1</c:v>
                </c:pt>
                <c:pt idx="7">
                  <c:v>231.49</c:v>
                </c:pt>
                <c:pt idx="8">
                  <c:v>241.99</c:v>
                </c:pt>
                <c:pt idx="9">
                  <c:v>251.72</c:v>
                </c:pt>
                <c:pt idx="10">
                  <c:v>260.95999999999998</c:v>
                </c:pt>
                <c:pt idx="11">
                  <c:v>269.26</c:v>
                </c:pt>
                <c:pt idx="12">
                  <c:v>277.69</c:v>
                </c:pt>
                <c:pt idx="13">
                  <c:v>285.26</c:v>
                </c:pt>
                <c:pt idx="14">
                  <c:v>292.89999999999998</c:v>
                </c:pt>
                <c:pt idx="15">
                  <c:v>299.66000000000003</c:v>
                </c:pt>
                <c:pt idx="16">
                  <c:v>306.08999999999997</c:v>
                </c:pt>
                <c:pt idx="17">
                  <c:v>312.62</c:v>
                </c:pt>
                <c:pt idx="18">
                  <c:v>318.37</c:v>
                </c:pt>
                <c:pt idx="19">
                  <c:v>324.67</c:v>
                </c:pt>
                <c:pt idx="20">
                  <c:v>330.23</c:v>
                </c:pt>
                <c:pt idx="21">
                  <c:v>336.37</c:v>
                </c:pt>
                <c:pt idx="22">
                  <c:v>341.91</c:v>
                </c:pt>
                <c:pt idx="23">
                  <c:v>347.34</c:v>
                </c:pt>
                <c:pt idx="24">
                  <c:v>352.79</c:v>
                </c:pt>
                <c:pt idx="25">
                  <c:v>357.73</c:v>
                </c:pt>
                <c:pt idx="26">
                  <c:v>362.67</c:v>
                </c:pt>
                <c:pt idx="27">
                  <c:v>367.52</c:v>
                </c:pt>
                <c:pt idx="28">
                  <c:v>372.77</c:v>
                </c:pt>
                <c:pt idx="29">
                  <c:v>377.62</c:v>
                </c:pt>
                <c:pt idx="30">
                  <c:v>382.45</c:v>
                </c:pt>
                <c:pt idx="31">
                  <c:v>387.42</c:v>
                </c:pt>
                <c:pt idx="32">
                  <c:v>392.11</c:v>
                </c:pt>
                <c:pt idx="33">
                  <c:v>396.91</c:v>
                </c:pt>
                <c:pt idx="34">
                  <c:v>401.29</c:v>
                </c:pt>
                <c:pt idx="35">
                  <c:v>406.19</c:v>
                </c:pt>
                <c:pt idx="36">
                  <c:v>410.76</c:v>
                </c:pt>
                <c:pt idx="37">
                  <c:v>415.5</c:v>
                </c:pt>
                <c:pt idx="38">
                  <c:v>420.11</c:v>
                </c:pt>
                <c:pt idx="39">
                  <c:v>423.95</c:v>
                </c:pt>
                <c:pt idx="40">
                  <c:v>428.4</c:v>
                </c:pt>
                <c:pt idx="41">
                  <c:v>433.1</c:v>
                </c:pt>
                <c:pt idx="42">
                  <c:v>437.79</c:v>
                </c:pt>
                <c:pt idx="43">
                  <c:v>442.47</c:v>
                </c:pt>
                <c:pt idx="44">
                  <c:v>447.06</c:v>
                </c:pt>
                <c:pt idx="45">
                  <c:v>451.77</c:v>
                </c:pt>
                <c:pt idx="46">
                  <c:v>456.49</c:v>
                </c:pt>
                <c:pt idx="47">
                  <c:v>461.17</c:v>
                </c:pt>
                <c:pt idx="48">
                  <c:v>465.9</c:v>
                </c:pt>
                <c:pt idx="49">
                  <c:v>470.52</c:v>
                </c:pt>
                <c:pt idx="50">
                  <c:v>475.03</c:v>
                </c:pt>
                <c:pt idx="51">
                  <c:v>479.64</c:v>
                </c:pt>
                <c:pt idx="52">
                  <c:v>484.23</c:v>
                </c:pt>
                <c:pt idx="53">
                  <c:v>488.81</c:v>
                </c:pt>
                <c:pt idx="54">
                  <c:v>493.41</c:v>
                </c:pt>
                <c:pt idx="55">
                  <c:v>497.93</c:v>
                </c:pt>
                <c:pt idx="56">
                  <c:v>502.29</c:v>
                </c:pt>
                <c:pt idx="57">
                  <c:v>506.71</c:v>
                </c:pt>
                <c:pt idx="58">
                  <c:v>511.12</c:v>
                </c:pt>
                <c:pt idx="59">
                  <c:v>515.48</c:v>
                </c:pt>
                <c:pt idx="60">
                  <c:v>519.87</c:v>
                </c:pt>
                <c:pt idx="61">
                  <c:v>524.19000000000005</c:v>
                </c:pt>
                <c:pt idx="62">
                  <c:v>528.41</c:v>
                </c:pt>
                <c:pt idx="63">
                  <c:v>532.6</c:v>
                </c:pt>
                <c:pt idx="64">
                  <c:v>536.80999999999995</c:v>
                </c:pt>
                <c:pt idx="65">
                  <c:v>540.99</c:v>
                </c:pt>
                <c:pt idx="66">
                  <c:v>545.16</c:v>
                </c:pt>
                <c:pt idx="67">
                  <c:v>549.34</c:v>
                </c:pt>
                <c:pt idx="68">
                  <c:v>553.52</c:v>
                </c:pt>
                <c:pt idx="69">
                  <c:v>557.6</c:v>
                </c:pt>
                <c:pt idx="70">
                  <c:v>561.54</c:v>
                </c:pt>
                <c:pt idx="71">
                  <c:v>565.5</c:v>
                </c:pt>
                <c:pt idx="72">
                  <c:v>569.53</c:v>
                </c:pt>
                <c:pt idx="73">
                  <c:v>573.63</c:v>
                </c:pt>
                <c:pt idx="74">
                  <c:v>577.9</c:v>
                </c:pt>
                <c:pt idx="75">
                  <c:v>582.30999999999995</c:v>
                </c:pt>
                <c:pt idx="76">
                  <c:v>586.69000000000005</c:v>
                </c:pt>
                <c:pt idx="77">
                  <c:v>591.15</c:v>
                </c:pt>
                <c:pt idx="78">
                  <c:v>595.76</c:v>
                </c:pt>
                <c:pt idx="79">
                  <c:v>600.59</c:v>
                </c:pt>
                <c:pt idx="80">
                  <c:v>605.76</c:v>
                </c:pt>
                <c:pt idx="81">
                  <c:v>611.16</c:v>
                </c:pt>
                <c:pt idx="82">
                  <c:v>616.77</c:v>
                </c:pt>
                <c:pt idx="83">
                  <c:v>622.55999999999995</c:v>
                </c:pt>
                <c:pt idx="84">
                  <c:v>628.74</c:v>
                </c:pt>
                <c:pt idx="85">
                  <c:v>635.24</c:v>
                </c:pt>
                <c:pt idx="86">
                  <c:v>642.05999999999995</c:v>
                </c:pt>
                <c:pt idx="87">
                  <c:v>649.46</c:v>
                </c:pt>
                <c:pt idx="88">
                  <c:v>657.52</c:v>
                </c:pt>
                <c:pt idx="89">
                  <c:v>666.27</c:v>
                </c:pt>
                <c:pt idx="90">
                  <c:v>676.07</c:v>
                </c:pt>
                <c:pt idx="91">
                  <c:v>686.95</c:v>
                </c:pt>
                <c:pt idx="92">
                  <c:v>697.83</c:v>
                </c:pt>
                <c:pt idx="93">
                  <c:v>708.49</c:v>
                </c:pt>
                <c:pt idx="94">
                  <c:v>720.1</c:v>
                </c:pt>
                <c:pt idx="95">
                  <c:v>722.84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96-4EAE-8734-609D801506D2}"/>
            </c:ext>
          </c:extLst>
        </c:ser>
        <c:ser>
          <c:idx val="16"/>
          <c:order val="16"/>
          <c:tx>
            <c:strRef>
              <c:f>'MEBU HPS LTO DAILY Graph'!$S$14</c:f>
              <c:strCache>
                <c:ptCount val="1"/>
                <c:pt idx="0">
                  <c:v>DAY6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'MEBU HPS LTO DAILY Graph'!$D$17:$D$117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Graph'!$S$17:$S$117</c:f>
              <c:numCache>
                <c:formatCode>General</c:formatCode>
                <c:ptCount val="101"/>
                <c:pt idx="0">
                  <c:v>162</c:v>
                </c:pt>
                <c:pt idx="1">
                  <c:v>172.5</c:v>
                </c:pt>
                <c:pt idx="2">
                  <c:v>190.5</c:v>
                </c:pt>
                <c:pt idx="3">
                  <c:v>204.5</c:v>
                </c:pt>
                <c:pt idx="4">
                  <c:v>217.5</c:v>
                </c:pt>
                <c:pt idx="5">
                  <c:v>229</c:v>
                </c:pt>
                <c:pt idx="6">
                  <c:v>240</c:v>
                </c:pt>
                <c:pt idx="7">
                  <c:v>251</c:v>
                </c:pt>
                <c:pt idx="8">
                  <c:v>260</c:v>
                </c:pt>
                <c:pt idx="9">
                  <c:v>269</c:v>
                </c:pt>
                <c:pt idx="10">
                  <c:v>277.5</c:v>
                </c:pt>
                <c:pt idx="11">
                  <c:v>285.5</c:v>
                </c:pt>
                <c:pt idx="12">
                  <c:v>293</c:v>
                </c:pt>
                <c:pt idx="13">
                  <c:v>300</c:v>
                </c:pt>
                <c:pt idx="14">
                  <c:v>307</c:v>
                </c:pt>
                <c:pt idx="15">
                  <c:v>313.5</c:v>
                </c:pt>
                <c:pt idx="16">
                  <c:v>319.5</c:v>
                </c:pt>
                <c:pt idx="17">
                  <c:v>326</c:v>
                </c:pt>
                <c:pt idx="18">
                  <c:v>332</c:v>
                </c:pt>
                <c:pt idx="19">
                  <c:v>338</c:v>
                </c:pt>
                <c:pt idx="20">
                  <c:v>343.5</c:v>
                </c:pt>
                <c:pt idx="21">
                  <c:v>349</c:v>
                </c:pt>
                <c:pt idx="22">
                  <c:v>354.5</c:v>
                </c:pt>
                <c:pt idx="23">
                  <c:v>360</c:v>
                </c:pt>
                <c:pt idx="24">
                  <c:v>365</c:v>
                </c:pt>
                <c:pt idx="25">
                  <c:v>370</c:v>
                </c:pt>
                <c:pt idx="26">
                  <c:v>375</c:v>
                </c:pt>
                <c:pt idx="27">
                  <c:v>380</c:v>
                </c:pt>
                <c:pt idx="28">
                  <c:v>385</c:v>
                </c:pt>
                <c:pt idx="29">
                  <c:v>390</c:v>
                </c:pt>
                <c:pt idx="30">
                  <c:v>395</c:v>
                </c:pt>
                <c:pt idx="31">
                  <c:v>399.5</c:v>
                </c:pt>
                <c:pt idx="32">
                  <c:v>404.5</c:v>
                </c:pt>
                <c:pt idx="33">
                  <c:v>409</c:v>
                </c:pt>
                <c:pt idx="34">
                  <c:v>414</c:v>
                </c:pt>
                <c:pt idx="35">
                  <c:v>418.5</c:v>
                </c:pt>
                <c:pt idx="36">
                  <c:v>423.5</c:v>
                </c:pt>
                <c:pt idx="37">
                  <c:v>428</c:v>
                </c:pt>
                <c:pt idx="38">
                  <c:v>433</c:v>
                </c:pt>
                <c:pt idx="39">
                  <c:v>438</c:v>
                </c:pt>
                <c:pt idx="40">
                  <c:v>442.5</c:v>
                </c:pt>
                <c:pt idx="41">
                  <c:v>447.5</c:v>
                </c:pt>
                <c:pt idx="42">
                  <c:v>452</c:v>
                </c:pt>
                <c:pt idx="43">
                  <c:v>457</c:v>
                </c:pt>
                <c:pt idx="44">
                  <c:v>462</c:v>
                </c:pt>
                <c:pt idx="45">
                  <c:v>466.5</c:v>
                </c:pt>
                <c:pt idx="46">
                  <c:v>471</c:v>
                </c:pt>
                <c:pt idx="47">
                  <c:v>476</c:v>
                </c:pt>
                <c:pt idx="48">
                  <c:v>480.5</c:v>
                </c:pt>
                <c:pt idx="49">
                  <c:v>485</c:v>
                </c:pt>
                <c:pt idx="50">
                  <c:v>490</c:v>
                </c:pt>
                <c:pt idx="51">
                  <c:v>494.5</c:v>
                </c:pt>
                <c:pt idx="52">
                  <c:v>499</c:v>
                </c:pt>
                <c:pt idx="53">
                  <c:v>503.5</c:v>
                </c:pt>
                <c:pt idx="54">
                  <c:v>508</c:v>
                </c:pt>
                <c:pt idx="55">
                  <c:v>512.5</c:v>
                </c:pt>
                <c:pt idx="56">
                  <c:v>516.5</c:v>
                </c:pt>
                <c:pt idx="57">
                  <c:v>521</c:v>
                </c:pt>
                <c:pt idx="58">
                  <c:v>525.5</c:v>
                </c:pt>
                <c:pt idx="59">
                  <c:v>530</c:v>
                </c:pt>
                <c:pt idx="60">
                  <c:v>534</c:v>
                </c:pt>
                <c:pt idx="61">
                  <c:v>538</c:v>
                </c:pt>
                <c:pt idx="62">
                  <c:v>542.5</c:v>
                </c:pt>
                <c:pt idx="63">
                  <c:v>546.5</c:v>
                </c:pt>
                <c:pt idx="64">
                  <c:v>551</c:v>
                </c:pt>
                <c:pt idx="65">
                  <c:v>555</c:v>
                </c:pt>
                <c:pt idx="66">
                  <c:v>559</c:v>
                </c:pt>
                <c:pt idx="67">
                  <c:v>563</c:v>
                </c:pt>
                <c:pt idx="68">
                  <c:v>567</c:v>
                </c:pt>
                <c:pt idx="69">
                  <c:v>571</c:v>
                </c:pt>
                <c:pt idx="70">
                  <c:v>575</c:v>
                </c:pt>
                <c:pt idx="71">
                  <c:v>579.5</c:v>
                </c:pt>
                <c:pt idx="72">
                  <c:v>584</c:v>
                </c:pt>
                <c:pt idx="73">
                  <c:v>588.5</c:v>
                </c:pt>
                <c:pt idx="74">
                  <c:v>593</c:v>
                </c:pt>
                <c:pt idx="75">
                  <c:v>597.5</c:v>
                </c:pt>
                <c:pt idx="76">
                  <c:v>602.5</c:v>
                </c:pt>
                <c:pt idx="77">
                  <c:v>608</c:v>
                </c:pt>
                <c:pt idx="78">
                  <c:v>613.5</c:v>
                </c:pt>
                <c:pt idx="79">
                  <c:v>619</c:v>
                </c:pt>
                <c:pt idx="80">
                  <c:v>625</c:v>
                </c:pt>
                <c:pt idx="81">
                  <c:v>631.5</c:v>
                </c:pt>
                <c:pt idx="82">
                  <c:v>638</c:v>
                </c:pt>
                <c:pt idx="83">
                  <c:v>645</c:v>
                </c:pt>
                <c:pt idx="84">
                  <c:v>653</c:v>
                </c:pt>
                <c:pt idx="85">
                  <c:v>661.5</c:v>
                </c:pt>
                <c:pt idx="86">
                  <c:v>671</c:v>
                </c:pt>
                <c:pt idx="87">
                  <c:v>682</c:v>
                </c:pt>
                <c:pt idx="88">
                  <c:v>693.5</c:v>
                </c:pt>
                <c:pt idx="89">
                  <c:v>705</c:v>
                </c:pt>
                <c:pt idx="90">
                  <c:v>718.5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96-4EAE-8734-609D801506D2}"/>
            </c:ext>
          </c:extLst>
        </c:ser>
        <c:ser>
          <c:idx val="17"/>
          <c:order val="17"/>
          <c:tx>
            <c:strRef>
              <c:f>'MEBU HPS LTO DAILY Graph'!$T$14</c:f>
              <c:strCache>
                <c:ptCount val="1"/>
                <c:pt idx="0">
                  <c:v>DAY7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'MEBU HPS LTO DAILY Graph'!$D$17:$D$117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Graph'!$T$17:$T$108</c:f>
              <c:numCache>
                <c:formatCode>General</c:formatCode>
                <c:ptCount val="92"/>
                <c:pt idx="0">
                  <c:v>94.68</c:v>
                </c:pt>
                <c:pt idx="1">
                  <c:v>120.64</c:v>
                </c:pt>
                <c:pt idx="2">
                  <c:v>150.78</c:v>
                </c:pt>
                <c:pt idx="3">
                  <c:v>171.13</c:v>
                </c:pt>
                <c:pt idx="4">
                  <c:v>186.47</c:v>
                </c:pt>
                <c:pt idx="5">
                  <c:v>201.61</c:v>
                </c:pt>
                <c:pt idx="6">
                  <c:v>214.77</c:v>
                </c:pt>
                <c:pt idx="7">
                  <c:v>226.44</c:v>
                </c:pt>
                <c:pt idx="8">
                  <c:v>236.98</c:v>
                </c:pt>
                <c:pt idx="9">
                  <c:v>248.45</c:v>
                </c:pt>
                <c:pt idx="10">
                  <c:v>257.93</c:v>
                </c:pt>
                <c:pt idx="11">
                  <c:v>267.47000000000003</c:v>
                </c:pt>
                <c:pt idx="12">
                  <c:v>275.91000000000003</c:v>
                </c:pt>
                <c:pt idx="13">
                  <c:v>284.27</c:v>
                </c:pt>
                <c:pt idx="14">
                  <c:v>292.07</c:v>
                </c:pt>
                <c:pt idx="15">
                  <c:v>299.20999999999998</c:v>
                </c:pt>
                <c:pt idx="16">
                  <c:v>305.83999999999997</c:v>
                </c:pt>
                <c:pt idx="17">
                  <c:v>312.67</c:v>
                </c:pt>
                <c:pt idx="18">
                  <c:v>318.7</c:v>
                </c:pt>
                <c:pt idx="19">
                  <c:v>325.36</c:v>
                </c:pt>
                <c:pt idx="20">
                  <c:v>331.18</c:v>
                </c:pt>
                <c:pt idx="21">
                  <c:v>337.41</c:v>
                </c:pt>
                <c:pt idx="22">
                  <c:v>342.94</c:v>
                </c:pt>
                <c:pt idx="23">
                  <c:v>348.79</c:v>
                </c:pt>
                <c:pt idx="24">
                  <c:v>354.25</c:v>
                </c:pt>
                <c:pt idx="25">
                  <c:v>359.58</c:v>
                </c:pt>
                <c:pt idx="26">
                  <c:v>364.73</c:v>
                </c:pt>
                <c:pt idx="27">
                  <c:v>369.85</c:v>
                </c:pt>
                <c:pt idx="28">
                  <c:v>375.07</c:v>
                </c:pt>
                <c:pt idx="29">
                  <c:v>379.85</c:v>
                </c:pt>
                <c:pt idx="30">
                  <c:v>385.13</c:v>
                </c:pt>
                <c:pt idx="31">
                  <c:v>389.93</c:v>
                </c:pt>
                <c:pt idx="32">
                  <c:v>394.97</c:v>
                </c:pt>
                <c:pt idx="33">
                  <c:v>399.64</c:v>
                </c:pt>
                <c:pt idx="34">
                  <c:v>404.54</c:v>
                </c:pt>
                <c:pt idx="35">
                  <c:v>409.41</c:v>
                </c:pt>
                <c:pt idx="36">
                  <c:v>414.16</c:v>
                </c:pt>
                <c:pt idx="37">
                  <c:v>419.01</c:v>
                </c:pt>
                <c:pt idx="38">
                  <c:v>423.74</c:v>
                </c:pt>
                <c:pt idx="39">
                  <c:v>428.56</c:v>
                </c:pt>
                <c:pt idx="40">
                  <c:v>433.45</c:v>
                </c:pt>
                <c:pt idx="41">
                  <c:v>438.25</c:v>
                </c:pt>
                <c:pt idx="42">
                  <c:v>443.15</c:v>
                </c:pt>
                <c:pt idx="43">
                  <c:v>447.87</c:v>
                </c:pt>
                <c:pt idx="44">
                  <c:v>452.82</c:v>
                </c:pt>
                <c:pt idx="45">
                  <c:v>457.67</c:v>
                </c:pt>
                <c:pt idx="46">
                  <c:v>462.5</c:v>
                </c:pt>
                <c:pt idx="47">
                  <c:v>467.33</c:v>
                </c:pt>
                <c:pt idx="48">
                  <c:v>471.97</c:v>
                </c:pt>
                <c:pt idx="49">
                  <c:v>476.72</c:v>
                </c:pt>
                <c:pt idx="50">
                  <c:v>481.41</c:v>
                </c:pt>
                <c:pt idx="51">
                  <c:v>486.14</c:v>
                </c:pt>
                <c:pt idx="52">
                  <c:v>490.89</c:v>
                </c:pt>
                <c:pt idx="53">
                  <c:v>495.58</c:v>
                </c:pt>
                <c:pt idx="54">
                  <c:v>500.17</c:v>
                </c:pt>
                <c:pt idx="55">
                  <c:v>504.67</c:v>
                </c:pt>
                <c:pt idx="56">
                  <c:v>509.19</c:v>
                </c:pt>
                <c:pt idx="57">
                  <c:v>513.71</c:v>
                </c:pt>
                <c:pt idx="58">
                  <c:v>518.25</c:v>
                </c:pt>
                <c:pt idx="59">
                  <c:v>522.72</c:v>
                </c:pt>
                <c:pt idx="60">
                  <c:v>527.08000000000004</c:v>
                </c:pt>
                <c:pt idx="61">
                  <c:v>531.41999999999996</c:v>
                </c:pt>
                <c:pt idx="62">
                  <c:v>535.75</c:v>
                </c:pt>
                <c:pt idx="63">
                  <c:v>540.05999999999995</c:v>
                </c:pt>
                <c:pt idx="64">
                  <c:v>544.33000000000004</c:v>
                </c:pt>
                <c:pt idx="65">
                  <c:v>548.63</c:v>
                </c:pt>
                <c:pt idx="66">
                  <c:v>552.94000000000005</c:v>
                </c:pt>
                <c:pt idx="67">
                  <c:v>557.16</c:v>
                </c:pt>
                <c:pt idx="68">
                  <c:v>561.20000000000005</c:v>
                </c:pt>
                <c:pt idx="69">
                  <c:v>565.26</c:v>
                </c:pt>
                <c:pt idx="70">
                  <c:v>569.39</c:v>
                </c:pt>
                <c:pt idx="71">
                  <c:v>573.6</c:v>
                </c:pt>
                <c:pt idx="72">
                  <c:v>577.98</c:v>
                </c:pt>
                <c:pt idx="73">
                  <c:v>582.52</c:v>
                </c:pt>
                <c:pt idx="74">
                  <c:v>587.01</c:v>
                </c:pt>
                <c:pt idx="75">
                  <c:v>591.57000000000005</c:v>
                </c:pt>
                <c:pt idx="76">
                  <c:v>596.33000000000004</c:v>
                </c:pt>
                <c:pt idx="77">
                  <c:v>601.33000000000004</c:v>
                </c:pt>
                <c:pt idx="78">
                  <c:v>606.66999999999996</c:v>
                </c:pt>
                <c:pt idx="79">
                  <c:v>612.23</c:v>
                </c:pt>
                <c:pt idx="80">
                  <c:v>618.02</c:v>
                </c:pt>
                <c:pt idx="81">
                  <c:v>624.04999999999995</c:v>
                </c:pt>
                <c:pt idx="82">
                  <c:v>630.47</c:v>
                </c:pt>
                <c:pt idx="83">
                  <c:v>637.26</c:v>
                </c:pt>
                <c:pt idx="84">
                  <c:v>644.47</c:v>
                </c:pt>
                <c:pt idx="85">
                  <c:v>652.38</c:v>
                </c:pt>
                <c:pt idx="86">
                  <c:v>660.96</c:v>
                </c:pt>
                <c:pt idx="87">
                  <c:v>670.56</c:v>
                </c:pt>
                <c:pt idx="88">
                  <c:v>681.42</c:v>
                </c:pt>
                <c:pt idx="89">
                  <c:v>693.26</c:v>
                </c:pt>
                <c:pt idx="90">
                  <c:v>705.02</c:v>
                </c:pt>
                <c:pt idx="91">
                  <c:v>718.24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C5-441D-B88B-1506EAB99CCE}"/>
            </c:ext>
          </c:extLst>
        </c:ser>
        <c:ser>
          <c:idx val="18"/>
          <c:order val="18"/>
          <c:tx>
            <c:strRef>
              <c:f>'MEBU HPS LTO DAILY Graph'!$U$14</c:f>
              <c:strCache>
                <c:ptCount val="1"/>
                <c:pt idx="0">
                  <c:v>DAY8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'MEBU HPS LTO DAILY Graph'!$D$17:$D$117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Graph'!$U$17:$U$117</c:f>
              <c:numCache>
                <c:formatCode>General</c:formatCode>
                <c:ptCount val="101"/>
                <c:pt idx="0">
                  <c:v>85.31</c:v>
                </c:pt>
                <c:pt idx="1">
                  <c:v>104.12</c:v>
                </c:pt>
                <c:pt idx="2">
                  <c:v>139.81</c:v>
                </c:pt>
                <c:pt idx="3">
                  <c:v>162.65</c:v>
                </c:pt>
                <c:pt idx="4">
                  <c:v>180.23</c:v>
                </c:pt>
                <c:pt idx="5">
                  <c:v>195.08</c:v>
                </c:pt>
                <c:pt idx="6">
                  <c:v>207.75</c:v>
                </c:pt>
                <c:pt idx="7">
                  <c:v>219.36</c:v>
                </c:pt>
                <c:pt idx="8">
                  <c:v>230.14</c:v>
                </c:pt>
                <c:pt idx="9">
                  <c:v>239.76</c:v>
                </c:pt>
                <c:pt idx="10">
                  <c:v>249.77</c:v>
                </c:pt>
                <c:pt idx="11">
                  <c:v>258.39999999999998</c:v>
                </c:pt>
                <c:pt idx="12">
                  <c:v>267.08</c:v>
                </c:pt>
                <c:pt idx="13">
                  <c:v>274.70999999999998</c:v>
                </c:pt>
                <c:pt idx="14">
                  <c:v>282.39</c:v>
                </c:pt>
                <c:pt idx="15">
                  <c:v>289.51</c:v>
                </c:pt>
                <c:pt idx="16">
                  <c:v>296.12</c:v>
                </c:pt>
                <c:pt idx="17">
                  <c:v>301.99</c:v>
                </c:pt>
                <c:pt idx="18">
                  <c:v>308.54000000000002</c:v>
                </c:pt>
                <c:pt idx="19">
                  <c:v>314.26</c:v>
                </c:pt>
                <c:pt idx="20">
                  <c:v>320.35000000000002</c:v>
                </c:pt>
                <c:pt idx="21">
                  <c:v>326.5</c:v>
                </c:pt>
                <c:pt idx="22">
                  <c:v>331.73</c:v>
                </c:pt>
                <c:pt idx="23">
                  <c:v>337.36</c:v>
                </c:pt>
                <c:pt idx="24">
                  <c:v>342.46</c:v>
                </c:pt>
                <c:pt idx="25">
                  <c:v>347.79</c:v>
                </c:pt>
                <c:pt idx="26">
                  <c:v>353.01</c:v>
                </c:pt>
                <c:pt idx="27">
                  <c:v>357.7</c:v>
                </c:pt>
                <c:pt idx="28">
                  <c:v>362.41</c:v>
                </c:pt>
                <c:pt idx="29">
                  <c:v>367.06</c:v>
                </c:pt>
                <c:pt idx="30">
                  <c:v>372.08</c:v>
                </c:pt>
                <c:pt idx="31">
                  <c:v>376.84</c:v>
                </c:pt>
                <c:pt idx="32">
                  <c:v>381.32</c:v>
                </c:pt>
                <c:pt idx="33">
                  <c:v>386.12</c:v>
                </c:pt>
                <c:pt idx="34">
                  <c:v>390.59</c:v>
                </c:pt>
                <c:pt idx="35">
                  <c:v>395.27</c:v>
                </c:pt>
                <c:pt idx="36">
                  <c:v>399.61</c:v>
                </c:pt>
                <c:pt idx="37">
                  <c:v>404.2</c:v>
                </c:pt>
                <c:pt idx="38">
                  <c:v>408.85</c:v>
                </c:pt>
                <c:pt idx="39">
                  <c:v>413.26</c:v>
                </c:pt>
                <c:pt idx="40">
                  <c:v>417.88</c:v>
                </c:pt>
                <c:pt idx="41">
                  <c:v>422.39</c:v>
                </c:pt>
                <c:pt idx="42">
                  <c:v>426.99</c:v>
                </c:pt>
                <c:pt idx="43">
                  <c:v>431.52</c:v>
                </c:pt>
                <c:pt idx="44">
                  <c:v>436.24</c:v>
                </c:pt>
                <c:pt idx="45">
                  <c:v>440.79</c:v>
                </c:pt>
                <c:pt idx="46">
                  <c:v>445.49</c:v>
                </c:pt>
                <c:pt idx="47">
                  <c:v>450.01</c:v>
                </c:pt>
                <c:pt idx="48">
                  <c:v>454.76</c:v>
                </c:pt>
                <c:pt idx="49">
                  <c:v>459.43</c:v>
                </c:pt>
                <c:pt idx="50">
                  <c:v>464.03</c:v>
                </c:pt>
                <c:pt idx="51">
                  <c:v>468.73</c:v>
                </c:pt>
                <c:pt idx="52">
                  <c:v>473.18</c:v>
                </c:pt>
                <c:pt idx="53">
                  <c:v>477.82</c:v>
                </c:pt>
                <c:pt idx="54">
                  <c:v>482.4</c:v>
                </c:pt>
                <c:pt idx="55">
                  <c:v>487.01</c:v>
                </c:pt>
                <c:pt idx="56">
                  <c:v>491.69</c:v>
                </c:pt>
                <c:pt idx="57">
                  <c:v>496.29</c:v>
                </c:pt>
                <c:pt idx="58">
                  <c:v>500.79</c:v>
                </c:pt>
                <c:pt idx="59">
                  <c:v>505.27</c:v>
                </c:pt>
                <c:pt idx="60">
                  <c:v>509.77</c:v>
                </c:pt>
                <c:pt idx="61">
                  <c:v>514.28</c:v>
                </c:pt>
                <c:pt idx="62">
                  <c:v>518.82000000000005</c:v>
                </c:pt>
                <c:pt idx="63">
                  <c:v>523.32000000000005</c:v>
                </c:pt>
                <c:pt idx="64">
                  <c:v>527.71</c:v>
                </c:pt>
                <c:pt idx="65">
                  <c:v>532.12</c:v>
                </c:pt>
                <c:pt idx="66">
                  <c:v>536.54999999999995</c:v>
                </c:pt>
                <c:pt idx="67">
                  <c:v>540.97</c:v>
                </c:pt>
                <c:pt idx="68">
                  <c:v>545.39</c:v>
                </c:pt>
                <c:pt idx="69">
                  <c:v>549.86</c:v>
                </c:pt>
                <c:pt idx="70">
                  <c:v>554.34</c:v>
                </c:pt>
                <c:pt idx="71">
                  <c:v>558.66</c:v>
                </c:pt>
                <c:pt idx="72">
                  <c:v>562.95000000000005</c:v>
                </c:pt>
                <c:pt idx="73">
                  <c:v>567.29</c:v>
                </c:pt>
                <c:pt idx="74">
                  <c:v>571.73</c:v>
                </c:pt>
                <c:pt idx="75">
                  <c:v>576.32000000000005</c:v>
                </c:pt>
                <c:pt idx="76">
                  <c:v>581.13</c:v>
                </c:pt>
                <c:pt idx="77">
                  <c:v>585.99</c:v>
                </c:pt>
                <c:pt idx="78">
                  <c:v>590.9</c:v>
                </c:pt>
                <c:pt idx="79">
                  <c:v>596.02</c:v>
                </c:pt>
                <c:pt idx="80">
                  <c:v>601.44000000000005</c:v>
                </c:pt>
                <c:pt idx="81">
                  <c:v>607.24</c:v>
                </c:pt>
                <c:pt idx="82">
                  <c:v>613.34</c:v>
                </c:pt>
                <c:pt idx="83">
                  <c:v>619.66</c:v>
                </c:pt>
                <c:pt idx="84">
                  <c:v>626.37</c:v>
                </c:pt>
                <c:pt idx="85">
                  <c:v>633.54</c:v>
                </c:pt>
                <c:pt idx="86">
                  <c:v>641.09</c:v>
                </c:pt>
                <c:pt idx="87">
                  <c:v>649.30999999999995</c:v>
                </c:pt>
                <c:pt idx="88">
                  <c:v>658.38</c:v>
                </c:pt>
                <c:pt idx="89">
                  <c:v>668.4</c:v>
                </c:pt>
                <c:pt idx="90">
                  <c:v>679.86</c:v>
                </c:pt>
                <c:pt idx="91">
                  <c:v>692.47</c:v>
                </c:pt>
                <c:pt idx="92">
                  <c:v>704.89</c:v>
                </c:pt>
                <c:pt idx="93">
                  <c:v>718.83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C5-441D-B88B-1506EAB99CCE}"/>
            </c:ext>
          </c:extLst>
        </c:ser>
        <c:ser>
          <c:idx val="20"/>
          <c:order val="19"/>
          <c:tx>
            <c:strRef>
              <c:f>'MEBU HPS LTO DAILY Graph'!$V$14</c:f>
              <c:strCache>
                <c:ptCount val="1"/>
                <c:pt idx="0">
                  <c:v>DAY9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'MEBU HPS LTO DAILY Graph'!$D$17:$D$117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Graph'!$V$17:$V$117</c:f>
              <c:numCache>
                <c:formatCode>General</c:formatCode>
                <c:ptCount val="101"/>
                <c:pt idx="0">
                  <c:v>83.48</c:v>
                </c:pt>
                <c:pt idx="1">
                  <c:v>100.6</c:v>
                </c:pt>
                <c:pt idx="2">
                  <c:v>139.77000000000001</c:v>
                </c:pt>
                <c:pt idx="3">
                  <c:v>163.13</c:v>
                </c:pt>
                <c:pt idx="4">
                  <c:v>181.27</c:v>
                </c:pt>
                <c:pt idx="5">
                  <c:v>197.13</c:v>
                </c:pt>
                <c:pt idx="6">
                  <c:v>209.1</c:v>
                </c:pt>
                <c:pt idx="7">
                  <c:v>220.51</c:v>
                </c:pt>
                <c:pt idx="8">
                  <c:v>231.51</c:v>
                </c:pt>
                <c:pt idx="9">
                  <c:v>241.52</c:v>
                </c:pt>
                <c:pt idx="10">
                  <c:v>251.17</c:v>
                </c:pt>
                <c:pt idx="11">
                  <c:v>259.89</c:v>
                </c:pt>
                <c:pt idx="12">
                  <c:v>268.35000000000002</c:v>
                </c:pt>
                <c:pt idx="13">
                  <c:v>276.24</c:v>
                </c:pt>
                <c:pt idx="14">
                  <c:v>283.89999999999998</c:v>
                </c:pt>
                <c:pt idx="15">
                  <c:v>291.12</c:v>
                </c:pt>
                <c:pt idx="16">
                  <c:v>297.76</c:v>
                </c:pt>
                <c:pt idx="17">
                  <c:v>303.61</c:v>
                </c:pt>
                <c:pt idx="18">
                  <c:v>310.04000000000002</c:v>
                </c:pt>
                <c:pt idx="19">
                  <c:v>315.44</c:v>
                </c:pt>
                <c:pt idx="20">
                  <c:v>321.87</c:v>
                </c:pt>
                <c:pt idx="21">
                  <c:v>327.81</c:v>
                </c:pt>
                <c:pt idx="22">
                  <c:v>333.46</c:v>
                </c:pt>
                <c:pt idx="23">
                  <c:v>339.14</c:v>
                </c:pt>
                <c:pt idx="24">
                  <c:v>344.22</c:v>
                </c:pt>
                <c:pt idx="25">
                  <c:v>349.56</c:v>
                </c:pt>
                <c:pt idx="26">
                  <c:v>354.49</c:v>
                </c:pt>
                <c:pt idx="27">
                  <c:v>359.6</c:v>
                </c:pt>
                <c:pt idx="28">
                  <c:v>364.4</c:v>
                </c:pt>
                <c:pt idx="29">
                  <c:v>369.17</c:v>
                </c:pt>
                <c:pt idx="30">
                  <c:v>374.13</c:v>
                </c:pt>
                <c:pt idx="31">
                  <c:v>378.64</c:v>
                </c:pt>
                <c:pt idx="32">
                  <c:v>383.65</c:v>
                </c:pt>
                <c:pt idx="33">
                  <c:v>388.38</c:v>
                </c:pt>
                <c:pt idx="34">
                  <c:v>393.05</c:v>
                </c:pt>
                <c:pt idx="35">
                  <c:v>397.79</c:v>
                </c:pt>
                <c:pt idx="36">
                  <c:v>402.15</c:v>
                </c:pt>
                <c:pt idx="37">
                  <c:v>406.93</c:v>
                </c:pt>
                <c:pt idx="38">
                  <c:v>411.43</c:v>
                </c:pt>
                <c:pt idx="39">
                  <c:v>416.14</c:v>
                </c:pt>
                <c:pt idx="40">
                  <c:v>420.71</c:v>
                </c:pt>
                <c:pt idx="41">
                  <c:v>425.46</c:v>
                </c:pt>
                <c:pt idx="42">
                  <c:v>430.11</c:v>
                </c:pt>
                <c:pt idx="43">
                  <c:v>434.98</c:v>
                </c:pt>
                <c:pt idx="44">
                  <c:v>439.59</c:v>
                </c:pt>
                <c:pt idx="45">
                  <c:v>444.42</c:v>
                </c:pt>
                <c:pt idx="46">
                  <c:v>449.03</c:v>
                </c:pt>
                <c:pt idx="47">
                  <c:v>453.93</c:v>
                </c:pt>
                <c:pt idx="48">
                  <c:v>458.7</c:v>
                </c:pt>
                <c:pt idx="49">
                  <c:v>463.4</c:v>
                </c:pt>
                <c:pt idx="50">
                  <c:v>468.21</c:v>
                </c:pt>
                <c:pt idx="51">
                  <c:v>472.76</c:v>
                </c:pt>
                <c:pt idx="52">
                  <c:v>477.51</c:v>
                </c:pt>
                <c:pt idx="53">
                  <c:v>482.18</c:v>
                </c:pt>
                <c:pt idx="54">
                  <c:v>486.88</c:v>
                </c:pt>
                <c:pt idx="55">
                  <c:v>491.66</c:v>
                </c:pt>
                <c:pt idx="56">
                  <c:v>496.35</c:v>
                </c:pt>
                <c:pt idx="57">
                  <c:v>500.92</c:v>
                </c:pt>
                <c:pt idx="58">
                  <c:v>505.5</c:v>
                </c:pt>
                <c:pt idx="59">
                  <c:v>510.06</c:v>
                </c:pt>
                <c:pt idx="60">
                  <c:v>514.64</c:v>
                </c:pt>
                <c:pt idx="61">
                  <c:v>519.26</c:v>
                </c:pt>
                <c:pt idx="62">
                  <c:v>523.82000000000005</c:v>
                </c:pt>
                <c:pt idx="63">
                  <c:v>528.27</c:v>
                </c:pt>
                <c:pt idx="64">
                  <c:v>532.73</c:v>
                </c:pt>
                <c:pt idx="65">
                  <c:v>537.22</c:v>
                </c:pt>
                <c:pt idx="66">
                  <c:v>541.70000000000005</c:v>
                </c:pt>
                <c:pt idx="67">
                  <c:v>546.17999999999995</c:v>
                </c:pt>
                <c:pt idx="68">
                  <c:v>550.70000000000005</c:v>
                </c:pt>
                <c:pt idx="69">
                  <c:v>555.23</c:v>
                </c:pt>
                <c:pt idx="70">
                  <c:v>559.54</c:v>
                </c:pt>
                <c:pt idx="71">
                  <c:v>563.86</c:v>
                </c:pt>
                <c:pt idx="72">
                  <c:v>568.25</c:v>
                </c:pt>
                <c:pt idx="73">
                  <c:v>572.75</c:v>
                </c:pt>
                <c:pt idx="74">
                  <c:v>577.42999999999995</c:v>
                </c:pt>
                <c:pt idx="75">
                  <c:v>582.30999999999995</c:v>
                </c:pt>
                <c:pt idx="76">
                  <c:v>587.16</c:v>
                </c:pt>
                <c:pt idx="77">
                  <c:v>592.15</c:v>
                </c:pt>
                <c:pt idx="78">
                  <c:v>597.35</c:v>
                </c:pt>
                <c:pt idx="79">
                  <c:v>602.91</c:v>
                </c:pt>
                <c:pt idx="80">
                  <c:v>608.82000000000005</c:v>
                </c:pt>
                <c:pt idx="81">
                  <c:v>615.03</c:v>
                </c:pt>
                <c:pt idx="82">
                  <c:v>621.47</c:v>
                </c:pt>
                <c:pt idx="83">
                  <c:v>628.36</c:v>
                </c:pt>
                <c:pt idx="84">
                  <c:v>635.72</c:v>
                </c:pt>
                <c:pt idx="85">
                  <c:v>643.51</c:v>
                </c:pt>
                <c:pt idx="86">
                  <c:v>652.11</c:v>
                </c:pt>
                <c:pt idx="87">
                  <c:v>661.56</c:v>
                </c:pt>
                <c:pt idx="88">
                  <c:v>672.22</c:v>
                </c:pt>
                <c:pt idx="89">
                  <c:v>684.42</c:v>
                </c:pt>
                <c:pt idx="90">
                  <c:v>697.29</c:v>
                </c:pt>
                <c:pt idx="91">
                  <c:v>710.49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3C5-441D-B88B-1506EAB99CCE}"/>
            </c:ext>
          </c:extLst>
        </c:ser>
        <c:ser>
          <c:idx val="19"/>
          <c:order val="20"/>
          <c:tx>
            <c:strRef>
              <c:f>'MEBU HPS LTO DAILY Graph'!$W$14</c:f>
              <c:strCache>
                <c:ptCount val="1"/>
                <c:pt idx="0">
                  <c:v>DAY10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'MEBU HPS LTO DAILY Graph'!$D$17:$D$117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Graph'!$W$17:$W$117</c:f>
              <c:numCache>
                <c:formatCode>General</c:formatCode>
                <c:ptCount val="101"/>
                <c:pt idx="0">
                  <c:v>83.78</c:v>
                </c:pt>
                <c:pt idx="1">
                  <c:v>103.64</c:v>
                </c:pt>
                <c:pt idx="2">
                  <c:v>139.93</c:v>
                </c:pt>
                <c:pt idx="3">
                  <c:v>163</c:v>
                </c:pt>
                <c:pt idx="4">
                  <c:v>180.54</c:v>
                </c:pt>
                <c:pt idx="5">
                  <c:v>195.45</c:v>
                </c:pt>
                <c:pt idx="6">
                  <c:v>208.08</c:v>
                </c:pt>
                <c:pt idx="7">
                  <c:v>219.63</c:v>
                </c:pt>
                <c:pt idx="8">
                  <c:v>230.41</c:v>
                </c:pt>
                <c:pt idx="9">
                  <c:v>239.97</c:v>
                </c:pt>
                <c:pt idx="10">
                  <c:v>249.92</c:v>
                </c:pt>
                <c:pt idx="11">
                  <c:v>258.45</c:v>
                </c:pt>
                <c:pt idx="12">
                  <c:v>267.05</c:v>
                </c:pt>
                <c:pt idx="13">
                  <c:v>274.61</c:v>
                </c:pt>
                <c:pt idx="14">
                  <c:v>282.22000000000003</c:v>
                </c:pt>
                <c:pt idx="15">
                  <c:v>289.24</c:v>
                </c:pt>
                <c:pt idx="16">
                  <c:v>295.83999999999997</c:v>
                </c:pt>
                <c:pt idx="17">
                  <c:v>301.66000000000003</c:v>
                </c:pt>
                <c:pt idx="18">
                  <c:v>308.17</c:v>
                </c:pt>
                <c:pt idx="19">
                  <c:v>314</c:v>
                </c:pt>
                <c:pt idx="20">
                  <c:v>319.86</c:v>
                </c:pt>
                <c:pt idx="21">
                  <c:v>325.86</c:v>
                </c:pt>
                <c:pt idx="22">
                  <c:v>330.99</c:v>
                </c:pt>
                <c:pt idx="23">
                  <c:v>336.7</c:v>
                </c:pt>
                <c:pt idx="24">
                  <c:v>341.89</c:v>
                </c:pt>
                <c:pt idx="25">
                  <c:v>347</c:v>
                </c:pt>
                <c:pt idx="26">
                  <c:v>352.13</c:v>
                </c:pt>
                <c:pt idx="27">
                  <c:v>356.65</c:v>
                </c:pt>
                <c:pt idx="28">
                  <c:v>361.5</c:v>
                </c:pt>
                <c:pt idx="29">
                  <c:v>366.16</c:v>
                </c:pt>
                <c:pt idx="30">
                  <c:v>370.94</c:v>
                </c:pt>
                <c:pt idx="31">
                  <c:v>375.65</c:v>
                </c:pt>
                <c:pt idx="32">
                  <c:v>379.96</c:v>
                </c:pt>
                <c:pt idx="33">
                  <c:v>384.79</c:v>
                </c:pt>
                <c:pt idx="34">
                  <c:v>389.18</c:v>
                </c:pt>
                <c:pt idx="35">
                  <c:v>393.79</c:v>
                </c:pt>
                <c:pt idx="36">
                  <c:v>398.29</c:v>
                </c:pt>
                <c:pt idx="37">
                  <c:v>402.54</c:v>
                </c:pt>
                <c:pt idx="38">
                  <c:v>407.13</c:v>
                </c:pt>
                <c:pt idx="39">
                  <c:v>411.43</c:v>
                </c:pt>
                <c:pt idx="40">
                  <c:v>415.96</c:v>
                </c:pt>
                <c:pt idx="41">
                  <c:v>420.34</c:v>
                </c:pt>
                <c:pt idx="42">
                  <c:v>424.92</c:v>
                </c:pt>
                <c:pt idx="43">
                  <c:v>429.33</c:v>
                </c:pt>
                <c:pt idx="44">
                  <c:v>433.95</c:v>
                </c:pt>
                <c:pt idx="45">
                  <c:v>438.38</c:v>
                </c:pt>
                <c:pt idx="46">
                  <c:v>443.01</c:v>
                </c:pt>
                <c:pt idx="47">
                  <c:v>447.45</c:v>
                </c:pt>
                <c:pt idx="48">
                  <c:v>452.07</c:v>
                </c:pt>
                <c:pt idx="49">
                  <c:v>456.67</c:v>
                </c:pt>
                <c:pt idx="50">
                  <c:v>461.24</c:v>
                </c:pt>
                <c:pt idx="51">
                  <c:v>465.85</c:v>
                </c:pt>
                <c:pt idx="52">
                  <c:v>470.41</c:v>
                </c:pt>
                <c:pt idx="53">
                  <c:v>474.81</c:v>
                </c:pt>
                <c:pt idx="54">
                  <c:v>479.36</c:v>
                </c:pt>
                <c:pt idx="55">
                  <c:v>483.82</c:v>
                </c:pt>
                <c:pt idx="56">
                  <c:v>488.45</c:v>
                </c:pt>
                <c:pt idx="57">
                  <c:v>493.06</c:v>
                </c:pt>
                <c:pt idx="58">
                  <c:v>497.59</c:v>
                </c:pt>
                <c:pt idx="59">
                  <c:v>501.99</c:v>
                </c:pt>
                <c:pt idx="60">
                  <c:v>506.44</c:v>
                </c:pt>
                <c:pt idx="61">
                  <c:v>510.89</c:v>
                </c:pt>
                <c:pt idx="62">
                  <c:v>515.32000000000005</c:v>
                </c:pt>
                <c:pt idx="63">
                  <c:v>519.79</c:v>
                </c:pt>
                <c:pt idx="64">
                  <c:v>524.22</c:v>
                </c:pt>
                <c:pt idx="65">
                  <c:v>528.55999999999995</c:v>
                </c:pt>
                <c:pt idx="66">
                  <c:v>532.89</c:v>
                </c:pt>
                <c:pt idx="67">
                  <c:v>537.25</c:v>
                </c:pt>
                <c:pt idx="68">
                  <c:v>541.62</c:v>
                </c:pt>
                <c:pt idx="69">
                  <c:v>545.98</c:v>
                </c:pt>
                <c:pt idx="70">
                  <c:v>550.36</c:v>
                </c:pt>
                <c:pt idx="71">
                  <c:v>554.78</c:v>
                </c:pt>
                <c:pt idx="72">
                  <c:v>558.99</c:v>
                </c:pt>
                <c:pt idx="73">
                  <c:v>563.20000000000005</c:v>
                </c:pt>
                <c:pt idx="74">
                  <c:v>567.47</c:v>
                </c:pt>
                <c:pt idx="75">
                  <c:v>571.82000000000005</c:v>
                </c:pt>
                <c:pt idx="76">
                  <c:v>576.33000000000004</c:v>
                </c:pt>
                <c:pt idx="77">
                  <c:v>581.04</c:v>
                </c:pt>
                <c:pt idx="78">
                  <c:v>585.79</c:v>
                </c:pt>
                <c:pt idx="79">
                  <c:v>590.59</c:v>
                </c:pt>
                <c:pt idx="80">
                  <c:v>595.58000000000004</c:v>
                </c:pt>
                <c:pt idx="81">
                  <c:v>600.83000000000004</c:v>
                </c:pt>
                <c:pt idx="82">
                  <c:v>606.48</c:v>
                </c:pt>
                <c:pt idx="83">
                  <c:v>612.41</c:v>
                </c:pt>
                <c:pt idx="84">
                  <c:v>618.54999999999995</c:v>
                </c:pt>
                <c:pt idx="85">
                  <c:v>625</c:v>
                </c:pt>
                <c:pt idx="86">
                  <c:v>631.9</c:v>
                </c:pt>
                <c:pt idx="87">
                  <c:v>639.17999999999995</c:v>
                </c:pt>
                <c:pt idx="88">
                  <c:v>646.99</c:v>
                </c:pt>
                <c:pt idx="89">
                  <c:v>655.66</c:v>
                </c:pt>
                <c:pt idx="90">
                  <c:v>665.07</c:v>
                </c:pt>
                <c:pt idx="91">
                  <c:v>675.78</c:v>
                </c:pt>
                <c:pt idx="92">
                  <c:v>687.91</c:v>
                </c:pt>
                <c:pt idx="93">
                  <c:v>700.22</c:v>
                </c:pt>
                <c:pt idx="94">
                  <c:v>713.04</c:v>
                </c:pt>
                <c:pt idx="95">
                  <c:v>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C5-441D-B88B-1506EAB99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491951"/>
        <c:axId val="92949243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'MEBU HPS LTO DAILY Graph'!$D$16</c15:sqref>
                        </c15:formulaRef>
                      </c:ext>
                    </c:extLst>
                    <c:strCache>
                      <c:ptCount val="1"/>
                      <c:pt idx="0">
                        <c:v>SIMDIST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'MEBU HPS LTO DAILY Graph'!$D$17:$D$90</c15:sqref>
                        </c15:formulaRef>
                      </c:ext>
                    </c:extLst>
                    <c:numCache>
                      <c:formatCode>General</c:formatCode>
                      <c:ptCount val="7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D-D7C1-4251-92CB-1551F2BD2D80}"/>
                  </c:ext>
                </c:extLst>
              </c15:ser>
            </c15:filteredScatterSeries>
          </c:ext>
        </c:extLst>
      </c:scatterChart>
      <c:valAx>
        <c:axId val="929491951"/>
        <c:scaling>
          <c:orientation val="minMax"/>
          <c:max val="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</a:rPr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929492431"/>
        <c:crosses val="autoZero"/>
        <c:crossBetween val="midCat"/>
      </c:valAx>
      <c:valAx>
        <c:axId val="92949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Century Gothic" panose="020B0502020202020204" pitchFamily="34" charset="0"/>
                  </a:rPr>
                  <a:t>BP (deg.C)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929491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alpha val="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LTO</a:t>
            </a:r>
            <a:r>
              <a:rPr lang="en-US" sz="1800" b="1" baseline="0">
                <a:solidFill>
                  <a:sysClr val="windowText" lastClr="000000"/>
                </a:solidFill>
              </a:rPr>
              <a:t> </a:t>
            </a:r>
            <a:r>
              <a:rPr lang="en-US" sz="1800" b="1">
                <a:solidFill>
                  <a:sysClr val="windowText" lastClr="000000"/>
                </a:solidFill>
              </a:rPr>
              <a:t>BOILING POINT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'MEBU HPS LTO DAILY Graph'!$E$121</c:f>
              <c:strCache>
                <c:ptCount val="1"/>
                <c:pt idx="0">
                  <c:v>DAY2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'MEBU HPS LTO DAILY Graph'!$D$123:$D$223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Graph'!$E$123:$E$223</c:f>
              <c:numCache>
                <c:formatCode>General</c:formatCode>
                <c:ptCount val="101"/>
                <c:pt idx="0">
                  <c:v>36.799999999999997</c:v>
                </c:pt>
                <c:pt idx="1">
                  <c:v>62.4</c:v>
                </c:pt>
                <c:pt idx="2">
                  <c:v>83.8</c:v>
                </c:pt>
                <c:pt idx="3">
                  <c:v>91.4</c:v>
                </c:pt>
                <c:pt idx="4">
                  <c:v>99.2</c:v>
                </c:pt>
                <c:pt idx="5">
                  <c:v>102.9</c:v>
                </c:pt>
                <c:pt idx="6">
                  <c:v>113.5</c:v>
                </c:pt>
                <c:pt idx="7">
                  <c:v>118</c:v>
                </c:pt>
                <c:pt idx="8">
                  <c:v>119.8</c:v>
                </c:pt>
                <c:pt idx="9">
                  <c:v>126.7</c:v>
                </c:pt>
                <c:pt idx="10">
                  <c:v>127.6</c:v>
                </c:pt>
                <c:pt idx="11">
                  <c:v>132.30000000000001</c:v>
                </c:pt>
                <c:pt idx="12">
                  <c:v>134.9</c:v>
                </c:pt>
                <c:pt idx="13">
                  <c:v>139.4</c:v>
                </c:pt>
                <c:pt idx="14">
                  <c:v>141.9</c:v>
                </c:pt>
                <c:pt idx="15">
                  <c:v>144.6</c:v>
                </c:pt>
                <c:pt idx="16">
                  <c:v>146.69999999999999</c:v>
                </c:pt>
                <c:pt idx="17">
                  <c:v>149.6</c:v>
                </c:pt>
                <c:pt idx="18">
                  <c:v>153.19999999999999</c:v>
                </c:pt>
                <c:pt idx="19">
                  <c:v>153.69999999999999</c:v>
                </c:pt>
                <c:pt idx="20">
                  <c:v>157.30000000000001</c:v>
                </c:pt>
                <c:pt idx="21">
                  <c:v>161.30000000000001</c:v>
                </c:pt>
                <c:pt idx="22">
                  <c:v>163.5</c:v>
                </c:pt>
                <c:pt idx="23">
                  <c:v>165.1</c:v>
                </c:pt>
                <c:pt idx="24">
                  <c:v>168.2</c:v>
                </c:pt>
                <c:pt idx="25">
                  <c:v>168.9</c:v>
                </c:pt>
                <c:pt idx="26">
                  <c:v>171.1</c:v>
                </c:pt>
                <c:pt idx="27">
                  <c:v>172.6</c:v>
                </c:pt>
                <c:pt idx="28">
                  <c:v>176.8</c:v>
                </c:pt>
                <c:pt idx="29">
                  <c:v>177.5</c:v>
                </c:pt>
                <c:pt idx="30">
                  <c:v>178.4</c:v>
                </c:pt>
                <c:pt idx="31">
                  <c:v>181.1</c:v>
                </c:pt>
                <c:pt idx="32">
                  <c:v>183.4</c:v>
                </c:pt>
                <c:pt idx="33">
                  <c:v>185.7</c:v>
                </c:pt>
                <c:pt idx="34">
                  <c:v>187.6</c:v>
                </c:pt>
                <c:pt idx="35">
                  <c:v>190.7</c:v>
                </c:pt>
                <c:pt idx="36">
                  <c:v>191.8</c:v>
                </c:pt>
                <c:pt idx="37">
                  <c:v>193.4</c:v>
                </c:pt>
                <c:pt idx="38">
                  <c:v>197</c:v>
                </c:pt>
                <c:pt idx="39">
                  <c:v>199.1</c:v>
                </c:pt>
                <c:pt idx="40">
                  <c:v>199.6</c:v>
                </c:pt>
                <c:pt idx="41">
                  <c:v>201.7</c:v>
                </c:pt>
                <c:pt idx="42">
                  <c:v>204.5</c:v>
                </c:pt>
                <c:pt idx="43">
                  <c:v>205.9</c:v>
                </c:pt>
                <c:pt idx="44">
                  <c:v>207.6</c:v>
                </c:pt>
                <c:pt idx="45">
                  <c:v>209.8</c:v>
                </c:pt>
                <c:pt idx="46">
                  <c:v>211.9</c:v>
                </c:pt>
                <c:pt idx="47">
                  <c:v>214.2</c:v>
                </c:pt>
                <c:pt idx="48">
                  <c:v>216.5</c:v>
                </c:pt>
                <c:pt idx="49">
                  <c:v>218.7</c:v>
                </c:pt>
                <c:pt idx="50">
                  <c:v>219.3</c:v>
                </c:pt>
                <c:pt idx="51">
                  <c:v>221.6</c:v>
                </c:pt>
                <c:pt idx="52">
                  <c:v>223.9</c:v>
                </c:pt>
                <c:pt idx="53">
                  <c:v>226.6</c:v>
                </c:pt>
                <c:pt idx="54">
                  <c:v>228.7</c:v>
                </c:pt>
                <c:pt idx="55">
                  <c:v>230.7</c:v>
                </c:pt>
                <c:pt idx="56">
                  <c:v>232.5</c:v>
                </c:pt>
                <c:pt idx="57">
                  <c:v>235.5</c:v>
                </c:pt>
                <c:pt idx="58">
                  <c:v>237.6</c:v>
                </c:pt>
                <c:pt idx="59">
                  <c:v>238.4</c:v>
                </c:pt>
                <c:pt idx="60">
                  <c:v>241</c:v>
                </c:pt>
                <c:pt idx="61">
                  <c:v>244.2</c:v>
                </c:pt>
                <c:pt idx="62">
                  <c:v>247.2</c:v>
                </c:pt>
                <c:pt idx="63">
                  <c:v>249.6</c:v>
                </c:pt>
                <c:pt idx="64">
                  <c:v>252.1</c:v>
                </c:pt>
                <c:pt idx="65">
                  <c:v>255.3</c:v>
                </c:pt>
                <c:pt idx="66">
                  <c:v>256.60000000000002</c:v>
                </c:pt>
                <c:pt idx="67">
                  <c:v>258.5</c:v>
                </c:pt>
                <c:pt idx="68">
                  <c:v>261.7</c:v>
                </c:pt>
                <c:pt idx="69">
                  <c:v>265.10000000000002</c:v>
                </c:pt>
                <c:pt idx="70">
                  <c:v>267.2</c:v>
                </c:pt>
                <c:pt idx="71">
                  <c:v>270.3</c:v>
                </c:pt>
                <c:pt idx="72">
                  <c:v>273</c:v>
                </c:pt>
                <c:pt idx="73">
                  <c:v>274.89999999999998</c:v>
                </c:pt>
                <c:pt idx="74">
                  <c:v>278.7</c:v>
                </c:pt>
                <c:pt idx="75">
                  <c:v>282</c:v>
                </c:pt>
                <c:pt idx="76">
                  <c:v>284.89999999999998</c:v>
                </c:pt>
                <c:pt idx="77">
                  <c:v>288.39999999999998</c:v>
                </c:pt>
                <c:pt idx="78">
                  <c:v>290.5</c:v>
                </c:pt>
                <c:pt idx="79">
                  <c:v>295.10000000000002</c:v>
                </c:pt>
                <c:pt idx="80">
                  <c:v>298.3</c:v>
                </c:pt>
                <c:pt idx="81">
                  <c:v>302.3</c:v>
                </c:pt>
                <c:pt idx="82">
                  <c:v>304.60000000000002</c:v>
                </c:pt>
                <c:pt idx="83">
                  <c:v>309</c:v>
                </c:pt>
                <c:pt idx="84">
                  <c:v>312.8</c:v>
                </c:pt>
                <c:pt idx="85">
                  <c:v>317.2</c:v>
                </c:pt>
                <c:pt idx="86">
                  <c:v>320.89999999999998</c:v>
                </c:pt>
                <c:pt idx="87">
                  <c:v>325.89999999999998</c:v>
                </c:pt>
                <c:pt idx="88">
                  <c:v>331.1</c:v>
                </c:pt>
                <c:pt idx="89">
                  <c:v>336</c:v>
                </c:pt>
                <c:pt idx="90">
                  <c:v>342.1</c:v>
                </c:pt>
                <c:pt idx="91">
                  <c:v>347.4</c:v>
                </c:pt>
                <c:pt idx="92">
                  <c:v>354.1</c:v>
                </c:pt>
                <c:pt idx="93">
                  <c:v>360.9</c:v>
                </c:pt>
                <c:pt idx="94">
                  <c:v>369</c:v>
                </c:pt>
                <c:pt idx="95">
                  <c:v>377.7</c:v>
                </c:pt>
                <c:pt idx="96">
                  <c:v>388</c:v>
                </c:pt>
                <c:pt idx="97">
                  <c:v>400.6</c:v>
                </c:pt>
                <c:pt idx="98">
                  <c:v>416.6</c:v>
                </c:pt>
                <c:pt idx="99">
                  <c:v>440.7</c:v>
                </c:pt>
                <c:pt idx="100">
                  <c:v>460.2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5BEC-4160-B7D4-93799B89CCD6}"/>
            </c:ext>
          </c:extLst>
        </c:ser>
        <c:ser>
          <c:idx val="1"/>
          <c:order val="1"/>
          <c:tx>
            <c:strRef>
              <c:f>'MEBU HPS LTO DAILY Graph'!$F$121</c:f>
              <c:strCache>
                <c:ptCount val="1"/>
                <c:pt idx="0">
                  <c:v>DAY3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'MEBU HPS LTO DAILY Graph'!$D$123:$D$223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Graph'!$F$123:$F$223</c:f>
              <c:numCache>
                <c:formatCode>General</c:formatCode>
                <c:ptCount val="101"/>
                <c:pt idx="0">
                  <c:v>36.5</c:v>
                </c:pt>
                <c:pt idx="1">
                  <c:v>56.9</c:v>
                </c:pt>
                <c:pt idx="2">
                  <c:v>69.5</c:v>
                </c:pt>
                <c:pt idx="3">
                  <c:v>84.6</c:v>
                </c:pt>
                <c:pt idx="4">
                  <c:v>91.6</c:v>
                </c:pt>
                <c:pt idx="5">
                  <c:v>99</c:v>
                </c:pt>
                <c:pt idx="6">
                  <c:v>102.5</c:v>
                </c:pt>
                <c:pt idx="7">
                  <c:v>112.3</c:v>
                </c:pt>
                <c:pt idx="8">
                  <c:v>117.5</c:v>
                </c:pt>
                <c:pt idx="9">
                  <c:v>119.2</c:v>
                </c:pt>
                <c:pt idx="10">
                  <c:v>124</c:v>
                </c:pt>
                <c:pt idx="11">
                  <c:v>127.1</c:v>
                </c:pt>
                <c:pt idx="12">
                  <c:v>127.7</c:v>
                </c:pt>
                <c:pt idx="13">
                  <c:v>134.19999999999999</c:v>
                </c:pt>
                <c:pt idx="14">
                  <c:v>138.69999999999999</c:v>
                </c:pt>
                <c:pt idx="15">
                  <c:v>141.4</c:v>
                </c:pt>
                <c:pt idx="16">
                  <c:v>143.9</c:v>
                </c:pt>
                <c:pt idx="17">
                  <c:v>146</c:v>
                </c:pt>
                <c:pt idx="18">
                  <c:v>148.19999999999999</c:v>
                </c:pt>
                <c:pt idx="19">
                  <c:v>152.5</c:v>
                </c:pt>
                <c:pt idx="20">
                  <c:v>152.9</c:v>
                </c:pt>
                <c:pt idx="21">
                  <c:v>156.1</c:v>
                </c:pt>
                <c:pt idx="22">
                  <c:v>160.5</c:v>
                </c:pt>
                <c:pt idx="23">
                  <c:v>162.69999999999999</c:v>
                </c:pt>
                <c:pt idx="24">
                  <c:v>164.3</c:v>
                </c:pt>
                <c:pt idx="25">
                  <c:v>167.3</c:v>
                </c:pt>
                <c:pt idx="26">
                  <c:v>168</c:v>
                </c:pt>
                <c:pt idx="27">
                  <c:v>170.4</c:v>
                </c:pt>
                <c:pt idx="28">
                  <c:v>171.9</c:v>
                </c:pt>
                <c:pt idx="29">
                  <c:v>175.9</c:v>
                </c:pt>
                <c:pt idx="30">
                  <c:v>176.4</c:v>
                </c:pt>
                <c:pt idx="31">
                  <c:v>177.7</c:v>
                </c:pt>
                <c:pt idx="32">
                  <c:v>180.7</c:v>
                </c:pt>
                <c:pt idx="33">
                  <c:v>182.8</c:v>
                </c:pt>
                <c:pt idx="34">
                  <c:v>185</c:v>
                </c:pt>
                <c:pt idx="35">
                  <c:v>187.3</c:v>
                </c:pt>
                <c:pt idx="36">
                  <c:v>189.8</c:v>
                </c:pt>
                <c:pt idx="37">
                  <c:v>191</c:v>
                </c:pt>
                <c:pt idx="38">
                  <c:v>193.6</c:v>
                </c:pt>
                <c:pt idx="39">
                  <c:v>196.6</c:v>
                </c:pt>
                <c:pt idx="40">
                  <c:v>198.1</c:v>
                </c:pt>
                <c:pt idx="41">
                  <c:v>198.6</c:v>
                </c:pt>
                <c:pt idx="42">
                  <c:v>201.6</c:v>
                </c:pt>
                <c:pt idx="43">
                  <c:v>203.9</c:v>
                </c:pt>
                <c:pt idx="44">
                  <c:v>205.4</c:v>
                </c:pt>
                <c:pt idx="45">
                  <c:v>207.3</c:v>
                </c:pt>
                <c:pt idx="46">
                  <c:v>209.4</c:v>
                </c:pt>
                <c:pt idx="47">
                  <c:v>211.7</c:v>
                </c:pt>
                <c:pt idx="48">
                  <c:v>214</c:v>
                </c:pt>
                <c:pt idx="49">
                  <c:v>216.6</c:v>
                </c:pt>
                <c:pt idx="50">
                  <c:v>217.8</c:v>
                </c:pt>
                <c:pt idx="51">
                  <c:v>219</c:v>
                </c:pt>
                <c:pt idx="52">
                  <c:v>221.1</c:v>
                </c:pt>
                <c:pt idx="53">
                  <c:v>223.9</c:v>
                </c:pt>
                <c:pt idx="54">
                  <c:v>226.3</c:v>
                </c:pt>
                <c:pt idx="55">
                  <c:v>228.6</c:v>
                </c:pt>
                <c:pt idx="56">
                  <c:v>230.6</c:v>
                </c:pt>
                <c:pt idx="57">
                  <c:v>232.6</c:v>
                </c:pt>
                <c:pt idx="58">
                  <c:v>236</c:v>
                </c:pt>
                <c:pt idx="59">
                  <c:v>236.8</c:v>
                </c:pt>
                <c:pt idx="60">
                  <c:v>238.4</c:v>
                </c:pt>
                <c:pt idx="61">
                  <c:v>241.4</c:v>
                </c:pt>
                <c:pt idx="62">
                  <c:v>244.6</c:v>
                </c:pt>
                <c:pt idx="63">
                  <c:v>247.3</c:v>
                </c:pt>
                <c:pt idx="64">
                  <c:v>250</c:v>
                </c:pt>
                <c:pt idx="65">
                  <c:v>253</c:v>
                </c:pt>
                <c:pt idx="66">
                  <c:v>255.3</c:v>
                </c:pt>
                <c:pt idx="67">
                  <c:v>256.39999999999998</c:v>
                </c:pt>
                <c:pt idx="68">
                  <c:v>259.5</c:v>
                </c:pt>
                <c:pt idx="69">
                  <c:v>263.10000000000002</c:v>
                </c:pt>
                <c:pt idx="70">
                  <c:v>265.60000000000002</c:v>
                </c:pt>
                <c:pt idx="71">
                  <c:v>268.2</c:v>
                </c:pt>
                <c:pt idx="72">
                  <c:v>271.7</c:v>
                </c:pt>
                <c:pt idx="73">
                  <c:v>273.10000000000002</c:v>
                </c:pt>
                <c:pt idx="74">
                  <c:v>276.8</c:v>
                </c:pt>
                <c:pt idx="75">
                  <c:v>280.39999999999998</c:v>
                </c:pt>
                <c:pt idx="76">
                  <c:v>283.3</c:v>
                </c:pt>
                <c:pt idx="77">
                  <c:v>287.10000000000002</c:v>
                </c:pt>
                <c:pt idx="78">
                  <c:v>288.89999999999998</c:v>
                </c:pt>
                <c:pt idx="79">
                  <c:v>293.2</c:v>
                </c:pt>
                <c:pt idx="80">
                  <c:v>296.89999999999998</c:v>
                </c:pt>
                <c:pt idx="81">
                  <c:v>300.8</c:v>
                </c:pt>
                <c:pt idx="82">
                  <c:v>303.60000000000002</c:v>
                </c:pt>
                <c:pt idx="83">
                  <c:v>307.5</c:v>
                </c:pt>
                <c:pt idx="84">
                  <c:v>311.60000000000002</c:v>
                </c:pt>
                <c:pt idx="85">
                  <c:v>316.2</c:v>
                </c:pt>
                <c:pt idx="86">
                  <c:v>319.39999999999998</c:v>
                </c:pt>
                <c:pt idx="87">
                  <c:v>324.8</c:v>
                </c:pt>
                <c:pt idx="88">
                  <c:v>330.1</c:v>
                </c:pt>
                <c:pt idx="89">
                  <c:v>334.7</c:v>
                </c:pt>
                <c:pt idx="90">
                  <c:v>340.9</c:v>
                </c:pt>
                <c:pt idx="91">
                  <c:v>346.3</c:v>
                </c:pt>
                <c:pt idx="92">
                  <c:v>353.2</c:v>
                </c:pt>
                <c:pt idx="93">
                  <c:v>359.9</c:v>
                </c:pt>
                <c:pt idx="94">
                  <c:v>368.1</c:v>
                </c:pt>
                <c:pt idx="95">
                  <c:v>376.8</c:v>
                </c:pt>
                <c:pt idx="96">
                  <c:v>387.1</c:v>
                </c:pt>
                <c:pt idx="97">
                  <c:v>399.8</c:v>
                </c:pt>
                <c:pt idx="98">
                  <c:v>415.9</c:v>
                </c:pt>
                <c:pt idx="99">
                  <c:v>440.2</c:v>
                </c:pt>
                <c:pt idx="100">
                  <c:v>459.7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5BEC-4160-B7D4-93799B89CCD6}"/>
            </c:ext>
          </c:extLst>
        </c:ser>
        <c:ser>
          <c:idx val="2"/>
          <c:order val="2"/>
          <c:tx>
            <c:strRef>
              <c:f>'MEBU HPS LTO DAILY Graph'!$G$121</c:f>
              <c:strCache>
                <c:ptCount val="1"/>
                <c:pt idx="0">
                  <c:v>DAY4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'MEBU HPS LTO DAILY Graph'!$D$123:$D$223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Graph'!$G$123:$G$223</c:f>
              <c:numCache>
                <c:formatCode>General</c:formatCode>
                <c:ptCount val="101"/>
                <c:pt idx="0">
                  <c:v>11.3</c:v>
                </c:pt>
                <c:pt idx="1">
                  <c:v>11.9</c:v>
                </c:pt>
                <c:pt idx="2">
                  <c:v>28.1</c:v>
                </c:pt>
                <c:pt idx="3">
                  <c:v>36.6</c:v>
                </c:pt>
                <c:pt idx="4">
                  <c:v>37.200000000000003</c:v>
                </c:pt>
                <c:pt idx="5">
                  <c:v>57.2</c:v>
                </c:pt>
                <c:pt idx="6">
                  <c:v>61.9</c:v>
                </c:pt>
                <c:pt idx="7">
                  <c:v>69.3</c:v>
                </c:pt>
                <c:pt idx="8">
                  <c:v>69.7</c:v>
                </c:pt>
                <c:pt idx="9">
                  <c:v>70.3</c:v>
                </c:pt>
                <c:pt idx="10">
                  <c:v>83.6</c:v>
                </c:pt>
                <c:pt idx="11">
                  <c:v>88.2</c:v>
                </c:pt>
                <c:pt idx="12">
                  <c:v>90.6</c:v>
                </c:pt>
                <c:pt idx="13">
                  <c:v>92.6</c:v>
                </c:pt>
                <c:pt idx="14">
                  <c:v>98.8</c:v>
                </c:pt>
                <c:pt idx="15">
                  <c:v>99.3</c:v>
                </c:pt>
                <c:pt idx="16">
                  <c:v>99.8</c:v>
                </c:pt>
                <c:pt idx="17">
                  <c:v>103.1</c:v>
                </c:pt>
                <c:pt idx="18">
                  <c:v>109.5</c:v>
                </c:pt>
                <c:pt idx="19">
                  <c:v>115.9</c:v>
                </c:pt>
                <c:pt idx="20">
                  <c:v>118</c:v>
                </c:pt>
                <c:pt idx="21">
                  <c:v>119.4</c:v>
                </c:pt>
                <c:pt idx="22">
                  <c:v>122.9</c:v>
                </c:pt>
                <c:pt idx="23">
                  <c:v>127.1</c:v>
                </c:pt>
                <c:pt idx="24">
                  <c:v>127.7</c:v>
                </c:pt>
                <c:pt idx="25">
                  <c:v>131.30000000000001</c:v>
                </c:pt>
                <c:pt idx="26">
                  <c:v>134.5</c:v>
                </c:pt>
                <c:pt idx="27">
                  <c:v>138.80000000000001</c:v>
                </c:pt>
                <c:pt idx="28">
                  <c:v>141.4</c:v>
                </c:pt>
                <c:pt idx="29">
                  <c:v>144</c:v>
                </c:pt>
                <c:pt idx="30">
                  <c:v>145.9</c:v>
                </c:pt>
                <c:pt idx="31">
                  <c:v>147.9</c:v>
                </c:pt>
                <c:pt idx="32">
                  <c:v>152.6</c:v>
                </c:pt>
                <c:pt idx="33">
                  <c:v>153.1</c:v>
                </c:pt>
                <c:pt idx="34">
                  <c:v>155.4</c:v>
                </c:pt>
                <c:pt idx="35">
                  <c:v>160.5</c:v>
                </c:pt>
                <c:pt idx="36">
                  <c:v>163</c:v>
                </c:pt>
                <c:pt idx="37">
                  <c:v>164.7</c:v>
                </c:pt>
                <c:pt idx="38">
                  <c:v>167.9</c:v>
                </c:pt>
                <c:pt idx="39">
                  <c:v>168.8</c:v>
                </c:pt>
                <c:pt idx="40">
                  <c:v>171.7</c:v>
                </c:pt>
                <c:pt idx="41">
                  <c:v>175.9</c:v>
                </c:pt>
                <c:pt idx="42">
                  <c:v>177.1</c:v>
                </c:pt>
                <c:pt idx="43">
                  <c:v>178.3</c:v>
                </c:pt>
                <c:pt idx="44">
                  <c:v>181.8</c:v>
                </c:pt>
                <c:pt idx="45">
                  <c:v>184.6</c:v>
                </c:pt>
                <c:pt idx="46">
                  <c:v>186.9</c:v>
                </c:pt>
                <c:pt idx="47">
                  <c:v>190.4</c:v>
                </c:pt>
                <c:pt idx="48">
                  <c:v>191.9</c:v>
                </c:pt>
                <c:pt idx="49">
                  <c:v>194.8</c:v>
                </c:pt>
                <c:pt idx="50">
                  <c:v>198.6</c:v>
                </c:pt>
                <c:pt idx="51">
                  <c:v>199.7</c:v>
                </c:pt>
                <c:pt idx="52">
                  <c:v>201.1</c:v>
                </c:pt>
                <c:pt idx="53">
                  <c:v>205</c:v>
                </c:pt>
                <c:pt idx="54">
                  <c:v>206.8</c:v>
                </c:pt>
                <c:pt idx="55">
                  <c:v>209.2</c:v>
                </c:pt>
                <c:pt idx="56">
                  <c:v>211.7</c:v>
                </c:pt>
                <c:pt idx="57">
                  <c:v>214.5</c:v>
                </c:pt>
                <c:pt idx="58">
                  <c:v>217.6</c:v>
                </c:pt>
                <c:pt idx="59">
                  <c:v>219.3</c:v>
                </c:pt>
                <c:pt idx="60">
                  <c:v>221.4</c:v>
                </c:pt>
                <c:pt idx="61">
                  <c:v>223.9</c:v>
                </c:pt>
                <c:pt idx="62">
                  <c:v>227.3</c:v>
                </c:pt>
                <c:pt idx="63">
                  <c:v>229.8</c:v>
                </c:pt>
                <c:pt idx="64">
                  <c:v>232.2</c:v>
                </c:pt>
                <c:pt idx="65">
                  <c:v>235.1</c:v>
                </c:pt>
                <c:pt idx="66">
                  <c:v>238</c:v>
                </c:pt>
                <c:pt idx="67">
                  <c:v>239.3</c:v>
                </c:pt>
                <c:pt idx="68">
                  <c:v>242.8</c:v>
                </c:pt>
                <c:pt idx="69">
                  <c:v>246.8</c:v>
                </c:pt>
                <c:pt idx="70">
                  <c:v>249.8</c:v>
                </c:pt>
                <c:pt idx="71">
                  <c:v>253</c:v>
                </c:pt>
                <c:pt idx="72">
                  <c:v>256.3</c:v>
                </c:pt>
                <c:pt idx="73">
                  <c:v>257.8</c:v>
                </c:pt>
                <c:pt idx="74">
                  <c:v>261.7</c:v>
                </c:pt>
                <c:pt idx="75">
                  <c:v>265.60000000000002</c:v>
                </c:pt>
                <c:pt idx="76">
                  <c:v>268.39999999999998</c:v>
                </c:pt>
                <c:pt idx="77">
                  <c:v>272.60000000000002</c:v>
                </c:pt>
                <c:pt idx="78">
                  <c:v>274.60000000000002</c:v>
                </c:pt>
                <c:pt idx="79">
                  <c:v>279.39999999999998</c:v>
                </c:pt>
                <c:pt idx="80">
                  <c:v>283.2</c:v>
                </c:pt>
                <c:pt idx="81">
                  <c:v>287.5</c:v>
                </c:pt>
                <c:pt idx="82">
                  <c:v>290</c:v>
                </c:pt>
                <c:pt idx="83">
                  <c:v>295.5</c:v>
                </c:pt>
                <c:pt idx="84">
                  <c:v>299.5</c:v>
                </c:pt>
                <c:pt idx="85">
                  <c:v>303.8</c:v>
                </c:pt>
                <c:pt idx="86">
                  <c:v>308</c:v>
                </c:pt>
                <c:pt idx="87">
                  <c:v>312.89999999999998</c:v>
                </c:pt>
                <c:pt idx="88">
                  <c:v>317.8</c:v>
                </c:pt>
                <c:pt idx="89">
                  <c:v>323.5</c:v>
                </c:pt>
                <c:pt idx="90">
                  <c:v>329.8</c:v>
                </c:pt>
                <c:pt idx="91">
                  <c:v>335.7</c:v>
                </c:pt>
                <c:pt idx="92">
                  <c:v>343.3</c:v>
                </c:pt>
                <c:pt idx="93">
                  <c:v>350.3</c:v>
                </c:pt>
                <c:pt idx="94">
                  <c:v>358.2</c:v>
                </c:pt>
                <c:pt idx="95">
                  <c:v>367.9</c:v>
                </c:pt>
                <c:pt idx="96">
                  <c:v>378.6</c:v>
                </c:pt>
                <c:pt idx="97">
                  <c:v>391.7</c:v>
                </c:pt>
                <c:pt idx="98">
                  <c:v>408.6</c:v>
                </c:pt>
                <c:pt idx="99">
                  <c:v>433.9</c:v>
                </c:pt>
                <c:pt idx="100">
                  <c:v>455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5BEC-4160-B7D4-93799B89CCD6}"/>
            </c:ext>
          </c:extLst>
        </c:ser>
        <c:ser>
          <c:idx val="3"/>
          <c:order val="3"/>
          <c:tx>
            <c:strRef>
              <c:f>'MEBU HPS LTO DAILY Graph'!$H$121</c:f>
              <c:strCache>
                <c:ptCount val="1"/>
                <c:pt idx="0">
                  <c:v>DAY5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'MEBU HPS LTO DAILY Graph'!$D$123:$D$223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Graph'!$H$123:$H$223</c:f>
              <c:numCache>
                <c:formatCode>General</c:formatCode>
                <c:ptCount val="101"/>
                <c:pt idx="0">
                  <c:v>11.1</c:v>
                </c:pt>
                <c:pt idx="1">
                  <c:v>11.8</c:v>
                </c:pt>
                <c:pt idx="2">
                  <c:v>27.8</c:v>
                </c:pt>
                <c:pt idx="3">
                  <c:v>36.5</c:v>
                </c:pt>
                <c:pt idx="4">
                  <c:v>37</c:v>
                </c:pt>
                <c:pt idx="5">
                  <c:v>56.6</c:v>
                </c:pt>
                <c:pt idx="6">
                  <c:v>58.1</c:v>
                </c:pt>
                <c:pt idx="7">
                  <c:v>68.900000000000006</c:v>
                </c:pt>
                <c:pt idx="8">
                  <c:v>69.5</c:v>
                </c:pt>
                <c:pt idx="9">
                  <c:v>69.8</c:v>
                </c:pt>
                <c:pt idx="10">
                  <c:v>75.7</c:v>
                </c:pt>
                <c:pt idx="11">
                  <c:v>84.9</c:v>
                </c:pt>
                <c:pt idx="12">
                  <c:v>88.8</c:v>
                </c:pt>
                <c:pt idx="13">
                  <c:v>91.2</c:v>
                </c:pt>
                <c:pt idx="14">
                  <c:v>98.3</c:v>
                </c:pt>
                <c:pt idx="15">
                  <c:v>98.8</c:v>
                </c:pt>
                <c:pt idx="16">
                  <c:v>99.2</c:v>
                </c:pt>
                <c:pt idx="17">
                  <c:v>102.5</c:v>
                </c:pt>
                <c:pt idx="18">
                  <c:v>106.5</c:v>
                </c:pt>
                <c:pt idx="19">
                  <c:v>113.7</c:v>
                </c:pt>
                <c:pt idx="20">
                  <c:v>117.5</c:v>
                </c:pt>
                <c:pt idx="21">
                  <c:v>118.5</c:v>
                </c:pt>
                <c:pt idx="22">
                  <c:v>120.2</c:v>
                </c:pt>
                <c:pt idx="23">
                  <c:v>126.6</c:v>
                </c:pt>
                <c:pt idx="24">
                  <c:v>127.3</c:v>
                </c:pt>
                <c:pt idx="25">
                  <c:v>127.7</c:v>
                </c:pt>
                <c:pt idx="26">
                  <c:v>133.69999999999999</c:v>
                </c:pt>
                <c:pt idx="27">
                  <c:v>137</c:v>
                </c:pt>
                <c:pt idx="28">
                  <c:v>141.1</c:v>
                </c:pt>
                <c:pt idx="29">
                  <c:v>143.5</c:v>
                </c:pt>
                <c:pt idx="30">
                  <c:v>145.30000000000001</c:v>
                </c:pt>
                <c:pt idx="31">
                  <c:v>147</c:v>
                </c:pt>
                <c:pt idx="32">
                  <c:v>152.30000000000001</c:v>
                </c:pt>
                <c:pt idx="33">
                  <c:v>153</c:v>
                </c:pt>
                <c:pt idx="34">
                  <c:v>153.69999999999999</c:v>
                </c:pt>
                <c:pt idx="35">
                  <c:v>159.4</c:v>
                </c:pt>
                <c:pt idx="36">
                  <c:v>162.4</c:v>
                </c:pt>
                <c:pt idx="37">
                  <c:v>164.5</c:v>
                </c:pt>
                <c:pt idx="38">
                  <c:v>167.8</c:v>
                </c:pt>
                <c:pt idx="39">
                  <c:v>168.6</c:v>
                </c:pt>
                <c:pt idx="40">
                  <c:v>171.5</c:v>
                </c:pt>
                <c:pt idx="41">
                  <c:v>174.3</c:v>
                </c:pt>
                <c:pt idx="42">
                  <c:v>177</c:v>
                </c:pt>
                <c:pt idx="43">
                  <c:v>177.6</c:v>
                </c:pt>
                <c:pt idx="44">
                  <c:v>180.6</c:v>
                </c:pt>
                <c:pt idx="45">
                  <c:v>183.6</c:v>
                </c:pt>
                <c:pt idx="46">
                  <c:v>186.2</c:v>
                </c:pt>
                <c:pt idx="47">
                  <c:v>189.1</c:v>
                </c:pt>
                <c:pt idx="48">
                  <c:v>191.4</c:v>
                </c:pt>
                <c:pt idx="49">
                  <c:v>193.1</c:v>
                </c:pt>
                <c:pt idx="50">
                  <c:v>197.3</c:v>
                </c:pt>
                <c:pt idx="51">
                  <c:v>199.2</c:v>
                </c:pt>
                <c:pt idx="52">
                  <c:v>199.9</c:v>
                </c:pt>
                <c:pt idx="53">
                  <c:v>203.8</c:v>
                </c:pt>
                <c:pt idx="54">
                  <c:v>205.8</c:v>
                </c:pt>
                <c:pt idx="55">
                  <c:v>208.1</c:v>
                </c:pt>
                <c:pt idx="56">
                  <c:v>210.7</c:v>
                </c:pt>
                <c:pt idx="57">
                  <c:v>213.3</c:v>
                </c:pt>
                <c:pt idx="58">
                  <c:v>216.2</c:v>
                </c:pt>
                <c:pt idx="59">
                  <c:v>218.6</c:v>
                </c:pt>
                <c:pt idx="60">
                  <c:v>219.8</c:v>
                </c:pt>
                <c:pt idx="61">
                  <c:v>222.7</c:v>
                </c:pt>
                <c:pt idx="62">
                  <c:v>225.9</c:v>
                </c:pt>
                <c:pt idx="63">
                  <c:v>228.8</c:v>
                </c:pt>
                <c:pt idx="64">
                  <c:v>231.2</c:v>
                </c:pt>
                <c:pt idx="65">
                  <c:v>233.7</c:v>
                </c:pt>
                <c:pt idx="66">
                  <c:v>237.2</c:v>
                </c:pt>
                <c:pt idx="67">
                  <c:v>238.1</c:v>
                </c:pt>
                <c:pt idx="68">
                  <c:v>241.5</c:v>
                </c:pt>
                <c:pt idx="69">
                  <c:v>245.3</c:v>
                </c:pt>
                <c:pt idx="70">
                  <c:v>248.7</c:v>
                </c:pt>
                <c:pt idx="71">
                  <c:v>251.9</c:v>
                </c:pt>
                <c:pt idx="72">
                  <c:v>255.5</c:v>
                </c:pt>
                <c:pt idx="73">
                  <c:v>256.7</c:v>
                </c:pt>
                <c:pt idx="74">
                  <c:v>260.5</c:v>
                </c:pt>
                <c:pt idx="75">
                  <c:v>264.60000000000002</c:v>
                </c:pt>
                <c:pt idx="76">
                  <c:v>267.3</c:v>
                </c:pt>
                <c:pt idx="77">
                  <c:v>271.60000000000002</c:v>
                </c:pt>
                <c:pt idx="78">
                  <c:v>273.5</c:v>
                </c:pt>
                <c:pt idx="79">
                  <c:v>278</c:v>
                </c:pt>
                <c:pt idx="80">
                  <c:v>282.2</c:v>
                </c:pt>
                <c:pt idx="81">
                  <c:v>286.2</c:v>
                </c:pt>
                <c:pt idx="82">
                  <c:v>289</c:v>
                </c:pt>
                <c:pt idx="83">
                  <c:v>294.10000000000002</c:v>
                </c:pt>
                <c:pt idx="84">
                  <c:v>298.39999999999998</c:v>
                </c:pt>
                <c:pt idx="85">
                  <c:v>303.10000000000002</c:v>
                </c:pt>
                <c:pt idx="86">
                  <c:v>306.60000000000002</c:v>
                </c:pt>
                <c:pt idx="87">
                  <c:v>311.89999999999998</c:v>
                </c:pt>
                <c:pt idx="88">
                  <c:v>317.10000000000002</c:v>
                </c:pt>
                <c:pt idx="89">
                  <c:v>322.3</c:v>
                </c:pt>
                <c:pt idx="90">
                  <c:v>328.4</c:v>
                </c:pt>
                <c:pt idx="91">
                  <c:v>334.1</c:v>
                </c:pt>
                <c:pt idx="92">
                  <c:v>341.8</c:v>
                </c:pt>
                <c:pt idx="93">
                  <c:v>348.8</c:v>
                </c:pt>
                <c:pt idx="94">
                  <c:v>357.2</c:v>
                </c:pt>
                <c:pt idx="95">
                  <c:v>366.3</c:v>
                </c:pt>
                <c:pt idx="96">
                  <c:v>376.8</c:v>
                </c:pt>
                <c:pt idx="97">
                  <c:v>389.7</c:v>
                </c:pt>
                <c:pt idx="98">
                  <c:v>406.1</c:v>
                </c:pt>
                <c:pt idx="99">
                  <c:v>430.5</c:v>
                </c:pt>
                <c:pt idx="100">
                  <c:v>450.2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5BEC-4160-B7D4-93799B89CCD6}"/>
            </c:ext>
          </c:extLst>
        </c:ser>
        <c:ser>
          <c:idx val="4"/>
          <c:order val="4"/>
          <c:tx>
            <c:strRef>
              <c:f>'MEBU HPS LTO DAILY Graph'!$I$121</c:f>
              <c:strCache>
                <c:ptCount val="1"/>
                <c:pt idx="0">
                  <c:v>DAY6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'MEBU HPS LTO DAILY Graph'!$D$123:$D$223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Graph'!$I$123:$I$223</c:f>
              <c:numCache>
                <c:formatCode>General</c:formatCode>
                <c:ptCount val="101"/>
                <c:pt idx="0">
                  <c:v>11.5</c:v>
                </c:pt>
                <c:pt idx="1">
                  <c:v>12.2</c:v>
                </c:pt>
                <c:pt idx="2">
                  <c:v>28.4</c:v>
                </c:pt>
                <c:pt idx="3">
                  <c:v>36.9</c:v>
                </c:pt>
                <c:pt idx="4">
                  <c:v>37.4</c:v>
                </c:pt>
                <c:pt idx="5">
                  <c:v>57.4</c:v>
                </c:pt>
                <c:pt idx="6">
                  <c:v>58.9</c:v>
                </c:pt>
                <c:pt idx="7">
                  <c:v>69.5</c:v>
                </c:pt>
                <c:pt idx="8">
                  <c:v>70.099999999999994</c:v>
                </c:pt>
                <c:pt idx="9">
                  <c:v>70.5</c:v>
                </c:pt>
                <c:pt idx="10">
                  <c:v>77.5</c:v>
                </c:pt>
                <c:pt idx="11">
                  <c:v>88.5</c:v>
                </c:pt>
                <c:pt idx="12">
                  <c:v>89.8</c:v>
                </c:pt>
                <c:pt idx="13">
                  <c:v>92.3</c:v>
                </c:pt>
                <c:pt idx="14">
                  <c:v>99.2</c:v>
                </c:pt>
                <c:pt idx="15">
                  <c:v>99.9</c:v>
                </c:pt>
                <c:pt idx="16">
                  <c:v>100.3</c:v>
                </c:pt>
                <c:pt idx="17">
                  <c:v>103.5</c:v>
                </c:pt>
                <c:pt idx="18">
                  <c:v>108</c:v>
                </c:pt>
                <c:pt idx="19">
                  <c:v>114.8</c:v>
                </c:pt>
                <c:pt idx="20">
                  <c:v>118.5</c:v>
                </c:pt>
                <c:pt idx="21">
                  <c:v>119.6</c:v>
                </c:pt>
                <c:pt idx="22">
                  <c:v>122.6</c:v>
                </c:pt>
                <c:pt idx="23">
                  <c:v>127.5</c:v>
                </c:pt>
                <c:pt idx="24">
                  <c:v>128.19999999999999</c:v>
                </c:pt>
                <c:pt idx="25">
                  <c:v>128.69999999999999</c:v>
                </c:pt>
                <c:pt idx="26">
                  <c:v>134.6</c:v>
                </c:pt>
                <c:pt idx="27">
                  <c:v>138.9</c:v>
                </c:pt>
                <c:pt idx="28">
                  <c:v>141.9</c:v>
                </c:pt>
                <c:pt idx="29">
                  <c:v>144.4</c:v>
                </c:pt>
                <c:pt idx="30">
                  <c:v>146.30000000000001</c:v>
                </c:pt>
                <c:pt idx="31">
                  <c:v>148.1</c:v>
                </c:pt>
                <c:pt idx="32">
                  <c:v>153.19999999999999</c:v>
                </c:pt>
                <c:pt idx="33">
                  <c:v>153.9</c:v>
                </c:pt>
                <c:pt idx="34">
                  <c:v>155.4</c:v>
                </c:pt>
                <c:pt idx="35">
                  <c:v>160.19999999999999</c:v>
                </c:pt>
                <c:pt idx="36">
                  <c:v>163.1</c:v>
                </c:pt>
                <c:pt idx="37">
                  <c:v>165.1</c:v>
                </c:pt>
                <c:pt idx="38">
                  <c:v>168.3</c:v>
                </c:pt>
                <c:pt idx="39">
                  <c:v>169.1</c:v>
                </c:pt>
                <c:pt idx="40">
                  <c:v>171.9</c:v>
                </c:pt>
                <c:pt idx="41">
                  <c:v>175</c:v>
                </c:pt>
                <c:pt idx="42">
                  <c:v>177.3</c:v>
                </c:pt>
                <c:pt idx="43">
                  <c:v>177.9</c:v>
                </c:pt>
                <c:pt idx="44">
                  <c:v>180.8</c:v>
                </c:pt>
                <c:pt idx="45">
                  <c:v>183.6</c:v>
                </c:pt>
                <c:pt idx="46">
                  <c:v>186.2</c:v>
                </c:pt>
                <c:pt idx="47">
                  <c:v>189</c:v>
                </c:pt>
                <c:pt idx="48">
                  <c:v>191.3</c:v>
                </c:pt>
                <c:pt idx="49">
                  <c:v>192.9</c:v>
                </c:pt>
                <c:pt idx="50">
                  <c:v>197</c:v>
                </c:pt>
                <c:pt idx="51">
                  <c:v>199</c:v>
                </c:pt>
                <c:pt idx="52">
                  <c:v>199.6</c:v>
                </c:pt>
                <c:pt idx="53">
                  <c:v>203.4</c:v>
                </c:pt>
                <c:pt idx="54">
                  <c:v>205.5</c:v>
                </c:pt>
                <c:pt idx="55">
                  <c:v>207.7</c:v>
                </c:pt>
                <c:pt idx="56">
                  <c:v>210.3</c:v>
                </c:pt>
                <c:pt idx="57">
                  <c:v>212.8</c:v>
                </c:pt>
                <c:pt idx="58">
                  <c:v>215.7</c:v>
                </c:pt>
                <c:pt idx="59">
                  <c:v>218.3</c:v>
                </c:pt>
                <c:pt idx="60">
                  <c:v>219.3</c:v>
                </c:pt>
                <c:pt idx="61">
                  <c:v>222.2</c:v>
                </c:pt>
                <c:pt idx="62">
                  <c:v>225.4</c:v>
                </c:pt>
                <c:pt idx="63">
                  <c:v>228.3</c:v>
                </c:pt>
                <c:pt idx="64">
                  <c:v>230.8</c:v>
                </c:pt>
                <c:pt idx="65">
                  <c:v>233.2</c:v>
                </c:pt>
                <c:pt idx="66">
                  <c:v>236.9</c:v>
                </c:pt>
                <c:pt idx="67">
                  <c:v>237.8</c:v>
                </c:pt>
                <c:pt idx="68">
                  <c:v>241</c:v>
                </c:pt>
                <c:pt idx="69">
                  <c:v>244.8</c:v>
                </c:pt>
                <c:pt idx="70">
                  <c:v>248.3</c:v>
                </c:pt>
                <c:pt idx="71">
                  <c:v>251.5</c:v>
                </c:pt>
                <c:pt idx="72">
                  <c:v>255.2</c:v>
                </c:pt>
                <c:pt idx="73">
                  <c:v>256.5</c:v>
                </c:pt>
                <c:pt idx="74">
                  <c:v>260.10000000000002</c:v>
                </c:pt>
                <c:pt idx="75">
                  <c:v>264.3</c:v>
                </c:pt>
                <c:pt idx="76">
                  <c:v>267</c:v>
                </c:pt>
                <c:pt idx="77">
                  <c:v>271.3</c:v>
                </c:pt>
                <c:pt idx="78">
                  <c:v>273.39999999999998</c:v>
                </c:pt>
                <c:pt idx="79">
                  <c:v>277.8</c:v>
                </c:pt>
                <c:pt idx="80">
                  <c:v>282</c:v>
                </c:pt>
                <c:pt idx="81">
                  <c:v>286</c:v>
                </c:pt>
                <c:pt idx="82">
                  <c:v>289.10000000000002</c:v>
                </c:pt>
                <c:pt idx="83">
                  <c:v>294</c:v>
                </c:pt>
                <c:pt idx="84">
                  <c:v>298.39999999999998</c:v>
                </c:pt>
                <c:pt idx="85">
                  <c:v>303.2</c:v>
                </c:pt>
                <c:pt idx="86">
                  <c:v>306.60000000000002</c:v>
                </c:pt>
                <c:pt idx="87">
                  <c:v>311.89999999999998</c:v>
                </c:pt>
                <c:pt idx="88">
                  <c:v>317.3</c:v>
                </c:pt>
                <c:pt idx="89">
                  <c:v>322.39999999999998</c:v>
                </c:pt>
                <c:pt idx="90">
                  <c:v>328.6</c:v>
                </c:pt>
                <c:pt idx="91">
                  <c:v>334.4</c:v>
                </c:pt>
                <c:pt idx="92">
                  <c:v>342.1</c:v>
                </c:pt>
                <c:pt idx="93">
                  <c:v>349.2</c:v>
                </c:pt>
                <c:pt idx="94">
                  <c:v>357.6</c:v>
                </c:pt>
                <c:pt idx="95">
                  <c:v>366.9</c:v>
                </c:pt>
                <c:pt idx="96">
                  <c:v>377.5</c:v>
                </c:pt>
                <c:pt idx="97">
                  <c:v>390.6</c:v>
                </c:pt>
                <c:pt idx="98">
                  <c:v>407.2</c:v>
                </c:pt>
                <c:pt idx="99">
                  <c:v>432</c:v>
                </c:pt>
                <c:pt idx="100">
                  <c:v>452.5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5BEC-4160-B7D4-93799B89CCD6}"/>
            </c:ext>
          </c:extLst>
        </c:ser>
        <c:ser>
          <c:idx val="5"/>
          <c:order val="5"/>
          <c:tx>
            <c:strRef>
              <c:f>'MEBU HPS LTO DAILY Graph'!$J$121</c:f>
              <c:strCache>
                <c:ptCount val="1"/>
                <c:pt idx="0">
                  <c:v>DAY7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'MEBU HPS LTO DAILY Graph'!$D$123:$D$223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Graph'!$J$123:$J$223</c:f>
              <c:numCache>
                <c:formatCode>General</c:formatCode>
                <c:ptCount val="101"/>
                <c:pt idx="0">
                  <c:v>11.2</c:v>
                </c:pt>
                <c:pt idx="1">
                  <c:v>12</c:v>
                </c:pt>
                <c:pt idx="2">
                  <c:v>28</c:v>
                </c:pt>
                <c:pt idx="3">
                  <c:v>36.700000000000003</c:v>
                </c:pt>
                <c:pt idx="4">
                  <c:v>37.200000000000003</c:v>
                </c:pt>
                <c:pt idx="5">
                  <c:v>55.9</c:v>
                </c:pt>
                <c:pt idx="6">
                  <c:v>58.2</c:v>
                </c:pt>
                <c:pt idx="7">
                  <c:v>64.3</c:v>
                </c:pt>
                <c:pt idx="8">
                  <c:v>69.7</c:v>
                </c:pt>
                <c:pt idx="9">
                  <c:v>70</c:v>
                </c:pt>
                <c:pt idx="10">
                  <c:v>75.8</c:v>
                </c:pt>
                <c:pt idx="11">
                  <c:v>85</c:v>
                </c:pt>
                <c:pt idx="12">
                  <c:v>89.5</c:v>
                </c:pt>
                <c:pt idx="13">
                  <c:v>92</c:v>
                </c:pt>
                <c:pt idx="14">
                  <c:v>98.8</c:v>
                </c:pt>
                <c:pt idx="15">
                  <c:v>99.6</c:v>
                </c:pt>
                <c:pt idx="16">
                  <c:v>99.9</c:v>
                </c:pt>
                <c:pt idx="17">
                  <c:v>103.1</c:v>
                </c:pt>
                <c:pt idx="18">
                  <c:v>106.8</c:v>
                </c:pt>
                <c:pt idx="19">
                  <c:v>114.1</c:v>
                </c:pt>
                <c:pt idx="20">
                  <c:v>118.1</c:v>
                </c:pt>
                <c:pt idx="21">
                  <c:v>118.9</c:v>
                </c:pt>
                <c:pt idx="22">
                  <c:v>120.5</c:v>
                </c:pt>
                <c:pt idx="23">
                  <c:v>126.8</c:v>
                </c:pt>
                <c:pt idx="24">
                  <c:v>127.7</c:v>
                </c:pt>
                <c:pt idx="25">
                  <c:v>128.1</c:v>
                </c:pt>
                <c:pt idx="26">
                  <c:v>133.9</c:v>
                </c:pt>
                <c:pt idx="27">
                  <c:v>136.69999999999999</c:v>
                </c:pt>
                <c:pt idx="28">
                  <c:v>141.4</c:v>
                </c:pt>
                <c:pt idx="29">
                  <c:v>143.69999999999999</c:v>
                </c:pt>
                <c:pt idx="30">
                  <c:v>145.6</c:v>
                </c:pt>
                <c:pt idx="31">
                  <c:v>147.30000000000001</c:v>
                </c:pt>
                <c:pt idx="32">
                  <c:v>152.6</c:v>
                </c:pt>
                <c:pt idx="33">
                  <c:v>153.30000000000001</c:v>
                </c:pt>
                <c:pt idx="34">
                  <c:v>153.80000000000001</c:v>
                </c:pt>
                <c:pt idx="35">
                  <c:v>159.19999999999999</c:v>
                </c:pt>
                <c:pt idx="36">
                  <c:v>162.30000000000001</c:v>
                </c:pt>
                <c:pt idx="37">
                  <c:v>164.5</c:v>
                </c:pt>
                <c:pt idx="38">
                  <c:v>167.6</c:v>
                </c:pt>
                <c:pt idx="39">
                  <c:v>168.4</c:v>
                </c:pt>
                <c:pt idx="40">
                  <c:v>170.9</c:v>
                </c:pt>
                <c:pt idx="41">
                  <c:v>173</c:v>
                </c:pt>
                <c:pt idx="42">
                  <c:v>176.5</c:v>
                </c:pt>
                <c:pt idx="43">
                  <c:v>177.1</c:v>
                </c:pt>
                <c:pt idx="44">
                  <c:v>179.7</c:v>
                </c:pt>
                <c:pt idx="45">
                  <c:v>182.5</c:v>
                </c:pt>
                <c:pt idx="46">
                  <c:v>185.3</c:v>
                </c:pt>
                <c:pt idx="47">
                  <c:v>188</c:v>
                </c:pt>
                <c:pt idx="48">
                  <c:v>190.5</c:v>
                </c:pt>
                <c:pt idx="49">
                  <c:v>192.1</c:v>
                </c:pt>
                <c:pt idx="50">
                  <c:v>196.2</c:v>
                </c:pt>
                <c:pt idx="51">
                  <c:v>198.3</c:v>
                </c:pt>
                <c:pt idx="52">
                  <c:v>198.9</c:v>
                </c:pt>
                <c:pt idx="53">
                  <c:v>202.5</c:v>
                </c:pt>
                <c:pt idx="54">
                  <c:v>204.7</c:v>
                </c:pt>
                <c:pt idx="55">
                  <c:v>206.8</c:v>
                </c:pt>
                <c:pt idx="56">
                  <c:v>209.4</c:v>
                </c:pt>
                <c:pt idx="57">
                  <c:v>212.1</c:v>
                </c:pt>
                <c:pt idx="58">
                  <c:v>214.9</c:v>
                </c:pt>
                <c:pt idx="59">
                  <c:v>217.7</c:v>
                </c:pt>
                <c:pt idx="60">
                  <c:v>218.5</c:v>
                </c:pt>
                <c:pt idx="61">
                  <c:v>221.2</c:v>
                </c:pt>
                <c:pt idx="62">
                  <c:v>224.5</c:v>
                </c:pt>
                <c:pt idx="63">
                  <c:v>227.6</c:v>
                </c:pt>
                <c:pt idx="64">
                  <c:v>230</c:v>
                </c:pt>
                <c:pt idx="65">
                  <c:v>232.4</c:v>
                </c:pt>
                <c:pt idx="66">
                  <c:v>236.3</c:v>
                </c:pt>
                <c:pt idx="67">
                  <c:v>237.2</c:v>
                </c:pt>
                <c:pt idx="68">
                  <c:v>240.3</c:v>
                </c:pt>
                <c:pt idx="69">
                  <c:v>244.1</c:v>
                </c:pt>
                <c:pt idx="70">
                  <c:v>247.6</c:v>
                </c:pt>
                <c:pt idx="71">
                  <c:v>250.8</c:v>
                </c:pt>
                <c:pt idx="72">
                  <c:v>254.6</c:v>
                </c:pt>
                <c:pt idx="73">
                  <c:v>256</c:v>
                </c:pt>
                <c:pt idx="74">
                  <c:v>259.39999999999998</c:v>
                </c:pt>
                <c:pt idx="75">
                  <c:v>263.7</c:v>
                </c:pt>
                <c:pt idx="76">
                  <c:v>266.5</c:v>
                </c:pt>
                <c:pt idx="77">
                  <c:v>270.60000000000002</c:v>
                </c:pt>
                <c:pt idx="78">
                  <c:v>272.89999999999998</c:v>
                </c:pt>
                <c:pt idx="79">
                  <c:v>277.2</c:v>
                </c:pt>
                <c:pt idx="80">
                  <c:v>281.39999999999998</c:v>
                </c:pt>
                <c:pt idx="81">
                  <c:v>285.39999999999998</c:v>
                </c:pt>
                <c:pt idx="82">
                  <c:v>288.60000000000002</c:v>
                </c:pt>
                <c:pt idx="83">
                  <c:v>293.39999999999998</c:v>
                </c:pt>
                <c:pt idx="84">
                  <c:v>297.8</c:v>
                </c:pt>
                <c:pt idx="85">
                  <c:v>302.7</c:v>
                </c:pt>
                <c:pt idx="86">
                  <c:v>306</c:v>
                </c:pt>
                <c:pt idx="87">
                  <c:v>311.39999999999998</c:v>
                </c:pt>
                <c:pt idx="88">
                  <c:v>316.89999999999998</c:v>
                </c:pt>
                <c:pt idx="89">
                  <c:v>321.8</c:v>
                </c:pt>
                <c:pt idx="90">
                  <c:v>327.9</c:v>
                </c:pt>
                <c:pt idx="91">
                  <c:v>333.7</c:v>
                </c:pt>
                <c:pt idx="92">
                  <c:v>341.5</c:v>
                </c:pt>
                <c:pt idx="93">
                  <c:v>348.5</c:v>
                </c:pt>
                <c:pt idx="94">
                  <c:v>357.1</c:v>
                </c:pt>
                <c:pt idx="95">
                  <c:v>366.2</c:v>
                </c:pt>
                <c:pt idx="96">
                  <c:v>376.7</c:v>
                </c:pt>
                <c:pt idx="97">
                  <c:v>389.7</c:v>
                </c:pt>
                <c:pt idx="98">
                  <c:v>406.2</c:v>
                </c:pt>
                <c:pt idx="99">
                  <c:v>430.8</c:v>
                </c:pt>
                <c:pt idx="100">
                  <c:v>450.7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5BEC-4160-B7D4-93799B89CCD6}"/>
            </c:ext>
          </c:extLst>
        </c:ser>
        <c:ser>
          <c:idx val="6"/>
          <c:order val="6"/>
          <c:tx>
            <c:strRef>
              <c:f>'MEBU HPS LTO DAILY Graph'!$K$121</c:f>
              <c:strCache>
                <c:ptCount val="1"/>
                <c:pt idx="0">
                  <c:v>DAY8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'MEBU HPS LTO DAILY Graph'!$D$123:$D$223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Graph'!$K$123:$K$223</c:f>
              <c:numCache>
                <c:formatCode>General</c:formatCode>
                <c:ptCount val="101"/>
                <c:pt idx="0">
                  <c:v>11.7</c:v>
                </c:pt>
                <c:pt idx="1">
                  <c:v>12.4</c:v>
                </c:pt>
                <c:pt idx="2">
                  <c:v>29.1</c:v>
                </c:pt>
                <c:pt idx="3">
                  <c:v>37.1</c:v>
                </c:pt>
                <c:pt idx="4">
                  <c:v>37.9</c:v>
                </c:pt>
                <c:pt idx="5">
                  <c:v>58</c:v>
                </c:pt>
                <c:pt idx="6">
                  <c:v>63.1</c:v>
                </c:pt>
                <c:pt idx="7">
                  <c:v>69.8</c:v>
                </c:pt>
                <c:pt idx="8">
                  <c:v>70.2</c:v>
                </c:pt>
                <c:pt idx="9">
                  <c:v>75.599999999999994</c:v>
                </c:pt>
                <c:pt idx="10">
                  <c:v>84.6</c:v>
                </c:pt>
                <c:pt idx="11">
                  <c:v>89</c:v>
                </c:pt>
                <c:pt idx="12">
                  <c:v>91.6</c:v>
                </c:pt>
                <c:pt idx="13">
                  <c:v>94.6</c:v>
                </c:pt>
                <c:pt idx="14">
                  <c:v>99.4</c:v>
                </c:pt>
                <c:pt idx="15">
                  <c:v>99.8</c:v>
                </c:pt>
                <c:pt idx="16">
                  <c:v>102.9</c:v>
                </c:pt>
                <c:pt idx="17">
                  <c:v>106.4</c:v>
                </c:pt>
                <c:pt idx="18">
                  <c:v>113.8</c:v>
                </c:pt>
                <c:pt idx="19">
                  <c:v>117.9</c:v>
                </c:pt>
                <c:pt idx="20">
                  <c:v>118.8</c:v>
                </c:pt>
                <c:pt idx="21">
                  <c:v>120.3</c:v>
                </c:pt>
                <c:pt idx="22">
                  <c:v>126.7</c:v>
                </c:pt>
                <c:pt idx="23">
                  <c:v>127.7</c:v>
                </c:pt>
                <c:pt idx="24">
                  <c:v>128.1</c:v>
                </c:pt>
                <c:pt idx="25">
                  <c:v>133.9</c:v>
                </c:pt>
                <c:pt idx="26">
                  <c:v>136.69999999999999</c:v>
                </c:pt>
                <c:pt idx="27">
                  <c:v>141.30000000000001</c:v>
                </c:pt>
                <c:pt idx="28">
                  <c:v>143.69999999999999</c:v>
                </c:pt>
                <c:pt idx="29">
                  <c:v>145.6</c:v>
                </c:pt>
                <c:pt idx="30">
                  <c:v>147.30000000000001</c:v>
                </c:pt>
                <c:pt idx="31">
                  <c:v>152.5</c:v>
                </c:pt>
                <c:pt idx="32">
                  <c:v>153.30000000000001</c:v>
                </c:pt>
                <c:pt idx="33">
                  <c:v>153.80000000000001</c:v>
                </c:pt>
                <c:pt idx="34">
                  <c:v>159.1</c:v>
                </c:pt>
                <c:pt idx="35">
                  <c:v>162.1</c:v>
                </c:pt>
                <c:pt idx="36">
                  <c:v>164.3</c:v>
                </c:pt>
                <c:pt idx="37">
                  <c:v>167.5</c:v>
                </c:pt>
                <c:pt idx="38">
                  <c:v>168.3</c:v>
                </c:pt>
                <c:pt idx="39">
                  <c:v>170.8</c:v>
                </c:pt>
                <c:pt idx="40">
                  <c:v>172.9</c:v>
                </c:pt>
                <c:pt idx="41">
                  <c:v>176.4</c:v>
                </c:pt>
                <c:pt idx="42">
                  <c:v>177</c:v>
                </c:pt>
                <c:pt idx="43">
                  <c:v>179.5</c:v>
                </c:pt>
                <c:pt idx="44">
                  <c:v>182.3</c:v>
                </c:pt>
                <c:pt idx="45">
                  <c:v>185</c:v>
                </c:pt>
                <c:pt idx="46">
                  <c:v>187.6</c:v>
                </c:pt>
                <c:pt idx="47">
                  <c:v>190.2</c:v>
                </c:pt>
                <c:pt idx="48">
                  <c:v>191.7</c:v>
                </c:pt>
                <c:pt idx="49">
                  <c:v>195.7</c:v>
                </c:pt>
                <c:pt idx="50">
                  <c:v>198.1</c:v>
                </c:pt>
                <c:pt idx="51">
                  <c:v>198.7</c:v>
                </c:pt>
                <c:pt idx="52">
                  <c:v>202.1</c:v>
                </c:pt>
                <c:pt idx="53">
                  <c:v>204.3</c:v>
                </c:pt>
                <c:pt idx="54">
                  <c:v>206.3</c:v>
                </c:pt>
                <c:pt idx="55">
                  <c:v>208.9</c:v>
                </c:pt>
                <c:pt idx="56">
                  <c:v>211.5</c:v>
                </c:pt>
                <c:pt idx="57">
                  <c:v>214.2</c:v>
                </c:pt>
                <c:pt idx="58">
                  <c:v>217.2</c:v>
                </c:pt>
                <c:pt idx="59">
                  <c:v>218.1</c:v>
                </c:pt>
                <c:pt idx="60">
                  <c:v>220.6</c:v>
                </c:pt>
                <c:pt idx="61">
                  <c:v>223.6</c:v>
                </c:pt>
                <c:pt idx="62">
                  <c:v>226.5</c:v>
                </c:pt>
                <c:pt idx="63">
                  <c:v>229.3</c:v>
                </c:pt>
                <c:pt idx="64">
                  <c:v>231.4</c:v>
                </c:pt>
                <c:pt idx="65">
                  <c:v>235.1</c:v>
                </c:pt>
                <c:pt idx="66">
                  <c:v>236.8</c:v>
                </c:pt>
                <c:pt idx="67">
                  <c:v>238.7</c:v>
                </c:pt>
                <c:pt idx="68">
                  <c:v>242.5</c:v>
                </c:pt>
                <c:pt idx="69">
                  <c:v>246.3</c:v>
                </c:pt>
                <c:pt idx="70">
                  <c:v>249.3</c:v>
                </c:pt>
                <c:pt idx="71">
                  <c:v>252.8</c:v>
                </c:pt>
                <c:pt idx="72">
                  <c:v>255.4</c:v>
                </c:pt>
                <c:pt idx="73">
                  <c:v>257.3</c:v>
                </c:pt>
                <c:pt idx="74">
                  <c:v>261.39999999999998</c:v>
                </c:pt>
                <c:pt idx="75">
                  <c:v>265.10000000000002</c:v>
                </c:pt>
                <c:pt idx="76">
                  <c:v>268.10000000000002</c:v>
                </c:pt>
                <c:pt idx="77">
                  <c:v>272.10000000000002</c:v>
                </c:pt>
                <c:pt idx="78">
                  <c:v>274.2</c:v>
                </c:pt>
                <c:pt idx="79">
                  <c:v>279</c:v>
                </c:pt>
                <c:pt idx="80">
                  <c:v>282.7</c:v>
                </c:pt>
                <c:pt idx="81">
                  <c:v>287.10000000000002</c:v>
                </c:pt>
                <c:pt idx="82">
                  <c:v>289.5</c:v>
                </c:pt>
                <c:pt idx="83">
                  <c:v>295</c:v>
                </c:pt>
                <c:pt idx="84">
                  <c:v>298.89999999999998</c:v>
                </c:pt>
                <c:pt idx="85">
                  <c:v>303.3</c:v>
                </c:pt>
                <c:pt idx="86">
                  <c:v>307.39999999999998</c:v>
                </c:pt>
                <c:pt idx="87">
                  <c:v>312.3</c:v>
                </c:pt>
                <c:pt idx="88">
                  <c:v>317.39999999999998</c:v>
                </c:pt>
                <c:pt idx="89">
                  <c:v>322.8</c:v>
                </c:pt>
                <c:pt idx="90">
                  <c:v>328.9</c:v>
                </c:pt>
                <c:pt idx="91">
                  <c:v>334.6</c:v>
                </c:pt>
                <c:pt idx="92">
                  <c:v>342.2</c:v>
                </c:pt>
                <c:pt idx="93">
                  <c:v>349.1</c:v>
                </c:pt>
                <c:pt idx="94">
                  <c:v>357.4</c:v>
                </c:pt>
                <c:pt idx="95">
                  <c:v>366.5</c:v>
                </c:pt>
                <c:pt idx="96">
                  <c:v>376.9</c:v>
                </c:pt>
                <c:pt idx="97">
                  <c:v>389.7</c:v>
                </c:pt>
                <c:pt idx="98">
                  <c:v>406.1</c:v>
                </c:pt>
                <c:pt idx="99">
                  <c:v>430.8</c:v>
                </c:pt>
                <c:pt idx="100">
                  <c:v>450.9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5BEC-4160-B7D4-93799B89CCD6}"/>
            </c:ext>
          </c:extLst>
        </c:ser>
        <c:ser>
          <c:idx val="7"/>
          <c:order val="7"/>
          <c:tx>
            <c:strRef>
              <c:f>'MEBU HPS LTO DAILY Graph'!$L$121</c:f>
              <c:strCache>
                <c:ptCount val="1"/>
                <c:pt idx="0">
                  <c:v>DAY9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'MEBU HPS LTO DAILY Graph'!$D$123:$D$223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Graph'!$L$123:$L$223</c:f>
              <c:numCache>
                <c:formatCode>General</c:formatCode>
                <c:ptCount val="101"/>
                <c:pt idx="0">
                  <c:v>11.3</c:v>
                </c:pt>
                <c:pt idx="1">
                  <c:v>12</c:v>
                </c:pt>
                <c:pt idx="2">
                  <c:v>27.9</c:v>
                </c:pt>
                <c:pt idx="3">
                  <c:v>36.5</c:v>
                </c:pt>
                <c:pt idx="4">
                  <c:v>37.1</c:v>
                </c:pt>
                <c:pt idx="5">
                  <c:v>56.6</c:v>
                </c:pt>
                <c:pt idx="6">
                  <c:v>58.1</c:v>
                </c:pt>
                <c:pt idx="7">
                  <c:v>68.7</c:v>
                </c:pt>
                <c:pt idx="8">
                  <c:v>69.400000000000006</c:v>
                </c:pt>
                <c:pt idx="9">
                  <c:v>69.7</c:v>
                </c:pt>
                <c:pt idx="10">
                  <c:v>75.599999999999994</c:v>
                </c:pt>
                <c:pt idx="11">
                  <c:v>85.2</c:v>
                </c:pt>
                <c:pt idx="12">
                  <c:v>88.7</c:v>
                </c:pt>
                <c:pt idx="13">
                  <c:v>91.2</c:v>
                </c:pt>
                <c:pt idx="14">
                  <c:v>98.2</c:v>
                </c:pt>
                <c:pt idx="15">
                  <c:v>98.8</c:v>
                </c:pt>
                <c:pt idx="16">
                  <c:v>99.1</c:v>
                </c:pt>
                <c:pt idx="17">
                  <c:v>102.4</c:v>
                </c:pt>
                <c:pt idx="18">
                  <c:v>106.5</c:v>
                </c:pt>
                <c:pt idx="19">
                  <c:v>113.7</c:v>
                </c:pt>
                <c:pt idx="20">
                  <c:v>117.6</c:v>
                </c:pt>
                <c:pt idx="21">
                  <c:v>118.5</c:v>
                </c:pt>
                <c:pt idx="22">
                  <c:v>120.3</c:v>
                </c:pt>
                <c:pt idx="23">
                  <c:v>126.7</c:v>
                </c:pt>
                <c:pt idx="24">
                  <c:v>127.4</c:v>
                </c:pt>
                <c:pt idx="25">
                  <c:v>127.8</c:v>
                </c:pt>
                <c:pt idx="26">
                  <c:v>133.9</c:v>
                </c:pt>
                <c:pt idx="27">
                  <c:v>136.9</c:v>
                </c:pt>
                <c:pt idx="28">
                  <c:v>141.4</c:v>
                </c:pt>
                <c:pt idx="29">
                  <c:v>143.9</c:v>
                </c:pt>
                <c:pt idx="30">
                  <c:v>145.80000000000001</c:v>
                </c:pt>
                <c:pt idx="31">
                  <c:v>147.4</c:v>
                </c:pt>
                <c:pt idx="32">
                  <c:v>152.69999999999999</c:v>
                </c:pt>
                <c:pt idx="33">
                  <c:v>153.4</c:v>
                </c:pt>
                <c:pt idx="34">
                  <c:v>153.9</c:v>
                </c:pt>
                <c:pt idx="35">
                  <c:v>159.4</c:v>
                </c:pt>
                <c:pt idx="36">
                  <c:v>162.4</c:v>
                </c:pt>
                <c:pt idx="37">
                  <c:v>164.6</c:v>
                </c:pt>
                <c:pt idx="38">
                  <c:v>167.8</c:v>
                </c:pt>
                <c:pt idx="39">
                  <c:v>168.5</c:v>
                </c:pt>
                <c:pt idx="40">
                  <c:v>171</c:v>
                </c:pt>
                <c:pt idx="41">
                  <c:v>173.1</c:v>
                </c:pt>
                <c:pt idx="42">
                  <c:v>176.6</c:v>
                </c:pt>
                <c:pt idx="43">
                  <c:v>177.2</c:v>
                </c:pt>
                <c:pt idx="44">
                  <c:v>179.7</c:v>
                </c:pt>
                <c:pt idx="45">
                  <c:v>182.6</c:v>
                </c:pt>
                <c:pt idx="46">
                  <c:v>185.3</c:v>
                </c:pt>
                <c:pt idx="47">
                  <c:v>188</c:v>
                </c:pt>
                <c:pt idx="48">
                  <c:v>190.6</c:v>
                </c:pt>
                <c:pt idx="49">
                  <c:v>192.1</c:v>
                </c:pt>
                <c:pt idx="50">
                  <c:v>196.1</c:v>
                </c:pt>
                <c:pt idx="51">
                  <c:v>198.3</c:v>
                </c:pt>
                <c:pt idx="52">
                  <c:v>198.9</c:v>
                </c:pt>
                <c:pt idx="53">
                  <c:v>202.4</c:v>
                </c:pt>
                <c:pt idx="54">
                  <c:v>204.6</c:v>
                </c:pt>
                <c:pt idx="55">
                  <c:v>206.6</c:v>
                </c:pt>
                <c:pt idx="56">
                  <c:v>209.3</c:v>
                </c:pt>
                <c:pt idx="57">
                  <c:v>211.9</c:v>
                </c:pt>
                <c:pt idx="58">
                  <c:v>214.7</c:v>
                </c:pt>
                <c:pt idx="59">
                  <c:v>217.6</c:v>
                </c:pt>
                <c:pt idx="60">
                  <c:v>218.4</c:v>
                </c:pt>
                <c:pt idx="61">
                  <c:v>221</c:v>
                </c:pt>
                <c:pt idx="62">
                  <c:v>224.1</c:v>
                </c:pt>
                <c:pt idx="63">
                  <c:v>227.1</c:v>
                </c:pt>
                <c:pt idx="64">
                  <c:v>229.7</c:v>
                </c:pt>
                <c:pt idx="65">
                  <c:v>232</c:v>
                </c:pt>
                <c:pt idx="66">
                  <c:v>236</c:v>
                </c:pt>
                <c:pt idx="67">
                  <c:v>237.1</c:v>
                </c:pt>
                <c:pt idx="68">
                  <c:v>239.6</c:v>
                </c:pt>
                <c:pt idx="69">
                  <c:v>243.6</c:v>
                </c:pt>
                <c:pt idx="70">
                  <c:v>247.1</c:v>
                </c:pt>
                <c:pt idx="71">
                  <c:v>250.2</c:v>
                </c:pt>
                <c:pt idx="72">
                  <c:v>254.1</c:v>
                </c:pt>
                <c:pt idx="73">
                  <c:v>255.8</c:v>
                </c:pt>
                <c:pt idx="74">
                  <c:v>258.5</c:v>
                </c:pt>
                <c:pt idx="75">
                  <c:v>263</c:v>
                </c:pt>
                <c:pt idx="76">
                  <c:v>266.10000000000002</c:v>
                </c:pt>
                <c:pt idx="77">
                  <c:v>269.8</c:v>
                </c:pt>
                <c:pt idx="78">
                  <c:v>272.7</c:v>
                </c:pt>
                <c:pt idx="79">
                  <c:v>276.3</c:v>
                </c:pt>
                <c:pt idx="80">
                  <c:v>280.8</c:v>
                </c:pt>
                <c:pt idx="81">
                  <c:v>284.5</c:v>
                </c:pt>
                <c:pt idx="82">
                  <c:v>288.5</c:v>
                </c:pt>
                <c:pt idx="83">
                  <c:v>292.39999999999998</c:v>
                </c:pt>
                <c:pt idx="84">
                  <c:v>297.2</c:v>
                </c:pt>
                <c:pt idx="85">
                  <c:v>302.10000000000002</c:v>
                </c:pt>
                <c:pt idx="86">
                  <c:v>305.2</c:v>
                </c:pt>
                <c:pt idx="87">
                  <c:v>310.7</c:v>
                </c:pt>
                <c:pt idx="88">
                  <c:v>316.3</c:v>
                </c:pt>
                <c:pt idx="89">
                  <c:v>320.89999999999998</c:v>
                </c:pt>
                <c:pt idx="90">
                  <c:v>327.10000000000002</c:v>
                </c:pt>
                <c:pt idx="91">
                  <c:v>332.8</c:v>
                </c:pt>
                <c:pt idx="92">
                  <c:v>340.6</c:v>
                </c:pt>
                <c:pt idx="93">
                  <c:v>347.5</c:v>
                </c:pt>
                <c:pt idx="94">
                  <c:v>356.2</c:v>
                </c:pt>
                <c:pt idx="95">
                  <c:v>365.2</c:v>
                </c:pt>
                <c:pt idx="96">
                  <c:v>375.6</c:v>
                </c:pt>
                <c:pt idx="97">
                  <c:v>388.5</c:v>
                </c:pt>
                <c:pt idx="98">
                  <c:v>404.7</c:v>
                </c:pt>
                <c:pt idx="99">
                  <c:v>429.2</c:v>
                </c:pt>
                <c:pt idx="100">
                  <c:v>449.2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5BEC-4160-B7D4-93799B89CCD6}"/>
            </c:ext>
          </c:extLst>
        </c:ser>
        <c:ser>
          <c:idx val="11"/>
          <c:order val="10"/>
          <c:tx>
            <c:strRef>
              <c:f>'MEBU HPS LTO DAILY Graph'!$M$121</c:f>
              <c:strCache>
                <c:ptCount val="1"/>
                <c:pt idx="0">
                  <c:v>DAY10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'MEBU HPS LTO DAILY Graph'!$D$123:$D$223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Graph'!$M$123:$M$223</c:f>
              <c:numCache>
                <c:formatCode>General</c:formatCode>
                <c:ptCount val="101"/>
                <c:pt idx="0">
                  <c:v>11.2</c:v>
                </c:pt>
                <c:pt idx="1">
                  <c:v>11.9</c:v>
                </c:pt>
                <c:pt idx="2">
                  <c:v>27.8</c:v>
                </c:pt>
                <c:pt idx="3">
                  <c:v>36.5</c:v>
                </c:pt>
                <c:pt idx="4">
                  <c:v>37</c:v>
                </c:pt>
                <c:pt idx="5">
                  <c:v>56.3</c:v>
                </c:pt>
                <c:pt idx="6">
                  <c:v>57.9</c:v>
                </c:pt>
                <c:pt idx="7">
                  <c:v>68.5</c:v>
                </c:pt>
                <c:pt idx="8">
                  <c:v>69.400000000000006</c:v>
                </c:pt>
                <c:pt idx="9">
                  <c:v>69.7</c:v>
                </c:pt>
                <c:pt idx="10">
                  <c:v>75.400000000000006</c:v>
                </c:pt>
                <c:pt idx="11">
                  <c:v>84.4</c:v>
                </c:pt>
                <c:pt idx="12">
                  <c:v>88.6</c:v>
                </c:pt>
                <c:pt idx="13">
                  <c:v>91</c:v>
                </c:pt>
                <c:pt idx="14">
                  <c:v>97.9</c:v>
                </c:pt>
                <c:pt idx="15">
                  <c:v>98.7</c:v>
                </c:pt>
                <c:pt idx="16">
                  <c:v>99.1</c:v>
                </c:pt>
                <c:pt idx="17">
                  <c:v>102.3</c:v>
                </c:pt>
                <c:pt idx="18">
                  <c:v>106</c:v>
                </c:pt>
                <c:pt idx="19">
                  <c:v>113.4</c:v>
                </c:pt>
                <c:pt idx="20">
                  <c:v>117.4</c:v>
                </c:pt>
                <c:pt idx="21">
                  <c:v>118.2</c:v>
                </c:pt>
                <c:pt idx="22">
                  <c:v>119.8</c:v>
                </c:pt>
                <c:pt idx="23">
                  <c:v>126.3</c:v>
                </c:pt>
                <c:pt idx="24">
                  <c:v>127.2</c:v>
                </c:pt>
                <c:pt idx="25">
                  <c:v>127.6</c:v>
                </c:pt>
                <c:pt idx="26">
                  <c:v>133.5</c:v>
                </c:pt>
                <c:pt idx="27">
                  <c:v>136.1</c:v>
                </c:pt>
                <c:pt idx="28">
                  <c:v>140.9</c:v>
                </c:pt>
                <c:pt idx="29">
                  <c:v>143.19999999999999</c:v>
                </c:pt>
                <c:pt idx="30">
                  <c:v>145.1</c:v>
                </c:pt>
                <c:pt idx="31">
                  <c:v>146.9</c:v>
                </c:pt>
                <c:pt idx="32">
                  <c:v>152.1</c:v>
                </c:pt>
                <c:pt idx="33">
                  <c:v>153</c:v>
                </c:pt>
                <c:pt idx="34">
                  <c:v>153.5</c:v>
                </c:pt>
                <c:pt idx="35">
                  <c:v>158.6</c:v>
                </c:pt>
                <c:pt idx="36">
                  <c:v>161.80000000000001</c:v>
                </c:pt>
                <c:pt idx="37">
                  <c:v>164.3</c:v>
                </c:pt>
                <c:pt idx="38">
                  <c:v>167.4</c:v>
                </c:pt>
                <c:pt idx="39">
                  <c:v>168.4</c:v>
                </c:pt>
                <c:pt idx="40">
                  <c:v>170.2</c:v>
                </c:pt>
                <c:pt idx="41">
                  <c:v>172.4</c:v>
                </c:pt>
                <c:pt idx="42">
                  <c:v>176.6</c:v>
                </c:pt>
                <c:pt idx="43">
                  <c:v>177.2</c:v>
                </c:pt>
                <c:pt idx="44">
                  <c:v>179.1</c:v>
                </c:pt>
                <c:pt idx="45">
                  <c:v>182.3</c:v>
                </c:pt>
                <c:pt idx="46">
                  <c:v>185.1</c:v>
                </c:pt>
                <c:pt idx="47">
                  <c:v>187.6</c:v>
                </c:pt>
                <c:pt idx="48">
                  <c:v>190.6</c:v>
                </c:pt>
                <c:pt idx="49">
                  <c:v>192</c:v>
                </c:pt>
                <c:pt idx="50">
                  <c:v>195.9</c:v>
                </c:pt>
                <c:pt idx="51">
                  <c:v>198.5</c:v>
                </c:pt>
                <c:pt idx="52">
                  <c:v>199.1</c:v>
                </c:pt>
                <c:pt idx="53">
                  <c:v>202.2</c:v>
                </c:pt>
                <c:pt idx="54">
                  <c:v>204.7</c:v>
                </c:pt>
                <c:pt idx="55">
                  <c:v>206.7</c:v>
                </c:pt>
                <c:pt idx="56">
                  <c:v>209.2</c:v>
                </c:pt>
                <c:pt idx="57">
                  <c:v>211.7</c:v>
                </c:pt>
                <c:pt idx="58">
                  <c:v>214.6</c:v>
                </c:pt>
                <c:pt idx="59">
                  <c:v>217.7</c:v>
                </c:pt>
                <c:pt idx="60">
                  <c:v>218.7</c:v>
                </c:pt>
                <c:pt idx="61">
                  <c:v>221.1</c:v>
                </c:pt>
                <c:pt idx="62">
                  <c:v>223.9</c:v>
                </c:pt>
                <c:pt idx="63">
                  <c:v>227</c:v>
                </c:pt>
                <c:pt idx="64">
                  <c:v>229.8</c:v>
                </c:pt>
                <c:pt idx="65">
                  <c:v>232</c:v>
                </c:pt>
                <c:pt idx="66">
                  <c:v>235.6</c:v>
                </c:pt>
                <c:pt idx="67">
                  <c:v>237.4</c:v>
                </c:pt>
                <c:pt idx="68">
                  <c:v>239.4</c:v>
                </c:pt>
                <c:pt idx="69">
                  <c:v>243.2</c:v>
                </c:pt>
                <c:pt idx="70">
                  <c:v>247.1</c:v>
                </c:pt>
                <c:pt idx="71">
                  <c:v>250.1</c:v>
                </c:pt>
                <c:pt idx="72">
                  <c:v>253.8</c:v>
                </c:pt>
                <c:pt idx="73">
                  <c:v>256</c:v>
                </c:pt>
                <c:pt idx="74">
                  <c:v>258.2</c:v>
                </c:pt>
                <c:pt idx="75">
                  <c:v>262.60000000000002</c:v>
                </c:pt>
                <c:pt idx="76">
                  <c:v>266</c:v>
                </c:pt>
                <c:pt idx="77">
                  <c:v>269.39999999999998</c:v>
                </c:pt>
                <c:pt idx="78">
                  <c:v>272.8</c:v>
                </c:pt>
                <c:pt idx="79">
                  <c:v>275.7</c:v>
                </c:pt>
                <c:pt idx="80">
                  <c:v>280.39999999999998</c:v>
                </c:pt>
                <c:pt idx="81">
                  <c:v>284.10000000000002</c:v>
                </c:pt>
                <c:pt idx="82">
                  <c:v>288.39999999999998</c:v>
                </c:pt>
                <c:pt idx="83">
                  <c:v>291.7</c:v>
                </c:pt>
                <c:pt idx="84">
                  <c:v>296.7</c:v>
                </c:pt>
                <c:pt idx="85">
                  <c:v>301.5</c:v>
                </c:pt>
                <c:pt idx="86">
                  <c:v>304.7</c:v>
                </c:pt>
                <c:pt idx="87">
                  <c:v>310.2</c:v>
                </c:pt>
                <c:pt idx="88">
                  <c:v>315.60000000000002</c:v>
                </c:pt>
                <c:pt idx="89">
                  <c:v>320</c:v>
                </c:pt>
                <c:pt idx="90">
                  <c:v>326.39999999999998</c:v>
                </c:pt>
                <c:pt idx="91">
                  <c:v>332.1</c:v>
                </c:pt>
                <c:pt idx="92">
                  <c:v>339.9</c:v>
                </c:pt>
                <c:pt idx="93">
                  <c:v>346.7</c:v>
                </c:pt>
                <c:pt idx="94">
                  <c:v>355.4</c:v>
                </c:pt>
                <c:pt idx="95">
                  <c:v>364.4</c:v>
                </c:pt>
                <c:pt idx="96">
                  <c:v>374.7</c:v>
                </c:pt>
                <c:pt idx="97">
                  <c:v>387.6</c:v>
                </c:pt>
                <c:pt idx="98">
                  <c:v>403.7</c:v>
                </c:pt>
                <c:pt idx="99">
                  <c:v>428</c:v>
                </c:pt>
                <c:pt idx="100">
                  <c:v>447.6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5BEC-4160-B7D4-93799B89CCD6}"/>
            </c:ext>
          </c:extLst>
        </c:ser>
        <c:ser>
          <c:idx val="8"/>
          <c:order val="11"/>
          <c:tx>
            <c:strRef>
              <c:f>'MEBU HPS LTO DAILY Graph'!$N$121</c:f>
              <c:strCache>
                <c:ptCount val="1"/>
                <c:pt idx="0">
                  <c:v>DAY11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'MEBU HPS LTO DAILY Graph'!$D$123:$D$223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Graph'!$N$123:$N$223</c:f>
              <c:numCache>
                <c:formatCode>General</c:formatCode>
                <c:ptCount val="101"/>
                <c:pt idx="0">
                  <c:v>11.4</c:v>
                </c:pt>
                <c:pt idx="1">
                  <c:v>12.2</c:v>
                </c:pt>
                <c:pt idx="2">
                  <c:v>28.4</c:v>
                </c:pt>
                <c:pt idx="3">
                  <c:v>36.9</c:v>
                </c:pt>
                <c:pt idx="4">
                  <c:v>37.4</c:v>
                </c:pt>
                <c:pt idx="5">
                  <c:v>57.3</c:v>
                </c:pt>
                <c:pt idx="6">
                  <c:v>58.7</c:v>
                </c:pt>
                <c:pt idx="7">
                  <c:v>69.400000000000006</c:v>
                </c:pt>
                <c:pt idx="8">
                  <c:v>70</c:v>
                </c:pt>
                <c:pt idx="9">
                  <c:v>70.400000000000006</c:v>
                </c:pt>
                <c:pt idx="10">
                  <c:v>76.2</c:v>
                </c:pt>
                <c:pt idx="11">
                  <c:v>88.4</c:v>
                </c:pt>
                <c:pt idx="12">
                  <c:v>89.8</c:v>
                </c:pt>
                <c:pt idx="13">
                  <c:v>92.3</c:v>
                </c:pt>
                <c:pt idx="14">
                  <c:v>99.2</c:v>
                </c:pt>
                <c:pt idx="15">
                  <c:v>99.8</c:v>
                </c:pt>
                <c:pt idx="16">
                  <c:v>100.2</c:v>
                </c:pt>
                <c:pt idx="17">
                  <c:v>103.4</c:v>
                </c:pt>
                <c:pt idx="18">
                  <c:v>107.3</c:v>
                </c:pt>
                <c:pt idx="19">
                  <c:v>114.4</c:v>
                </c:pt>
                <c:pt idx="20">
                  <c:v>118.3</c:v>
                </c:pt>
                <c:pt idx="21">
                  <c:v>119.3</c:v>
                </c:pt>
                <c:pt idx="22">
                  <c:v>121</c:v>
                </c:pt>
                <c:pt idx="23">
                  <c:v>127.2</c:v>
                </c:pt>
                <c:pt idx="24">
                  <c:v>127.9</c:v>
                </c:pt>
                <c:pt idx="25">
                  <c:v>128.30000000000001</c:v>
                </c:pt>
                <c:pt idx="26">
                  <c:v>134.1</c:v>
                </c:pt>
                <c:pt idx="27">
                  <c:v>137</c:v>
                </c:pt>
                <c:pt idx="28">
                  <c:v>141.5</c:v>
                </c:pt>
                <c:pt idx="29">
                  <c:v>143.9</c:v>
                </c:pt>
                <c:pt idx="30">
                  <c:v>145.80000000000001</c:v>
                </c:pt>
                <c:pt idx="31">
                  <c:v>147.4</c:v>
                </c:pt>
                <c:pt idx="32">
                  <c:v>152.69999999999999</c:v>
                </c:pt>
                <c:pt idx="33">
                  <c:v>153.5</c:v>
                </c:pt>
                <c:pt idx="34">
                  <c:v>154</c:v>
                </c:pt>
                <c:pt idx="35">
                  <c:v>159.1</c:v>
                </c:pt>
                <c:pt idx="36">
                  <c:v>162.30000000000001</c:v>
                </c:pt>
                <c:pt idx="37">
                  <c:v>164.6</c:v>
                </c:pt>
                <c:pt idx="38">
                  <c:v>167.8</c:v>
                </c:pt>
                <c:pt idx="39">
                  <c:v>168.6</c:v>
                </c:pt>
                <c:pt idx="40">
                  <c:v>170.6</c:v>
                </c:pt>
                <c:pt idx="41">
                  <c:v>172.8</c:v>
                </c:pt>
                <c:pt idx="42">
                  <c:v>176.8</c:v>
                </c:pt>
                <c:pt idx="43">
                  <c:v>177.5</c:v>
                </c:pt>
                <c:pt idx="44">
                  <c:v>179.5</c:v>
                </c:pt>
                <c:pt idx="45">
                  <c:v>182.5</c:v>
                </c:pt>
                <c:pt idx="46">
                  <c:v>185.3</c:v>
                </c:pt>
                <c:pt idx="47">
                  <c:v>187.9</c:v>
                </c:pt>
                <c:pt idx="48">
                  <c:v>190.8</c:v>
                </c:pt>
                <c:pt idx="49">
                  <c:v>192.2</c:v>
                </c:pt>
                <c:pt idx="50">
                  <c:v>196</c:v>
                </c:pt>
                <c:pt idx="51">
                  <c:v>198.6</c:v>
                </c:pt>
                <c:pt idx="52">
                  <c:v>199.3</c:v>
                </c:pt>
                <c:pt idx="53">
                  <c:v>202.3</c:v>
                </c:pt>
                <c:pt idx="54">
                  <c:v>204.8</c:v>
                </c:pt>
                <c:pt idx="55">
                  <c:v>206.8</c:v>
                </c:pt>
                <c:pt idx="56">
                  <c:v>209.3</c:v>
                </c:pt>
                <c:pt idx="57">
                  <c:v>211.8</c:v>
                </c:pt>
                <c:pt idx="58">
                  <c:v>214.6</c:v>
                </c:pt>
                <c:pt idx="59">
                  <c:v>217.7</c:v>
                </c:pt>
                <c:pt idx="60">
                  <c:v>218.8</c:v>
                </c:pt>
                <c:pt idx="61">
                  <c:v>221.2</c:v>
                </c:pt>
                <c:pt idx="62">
                  <c:v>224</c:v>
                </c:pt>
                <c:pt idx="63">
                  <c:v>227.1</c:v>
                </c:pt>
                <c:pt idx="64">
                  <c:v>229.8</c:v>
                </c:pt>
                <c:pt idx="65">
                  <c:v>232</c:v>
                </c:pt>
                <c:pt idx="66">
                  <c:v>235.6</c:v>
                </c:pt>
                <c:pt idx="67">
                  <c:v>237.5</c:v>
                </c:pt>
                <c:pt idx="68">
                  <c:v>239.4</c:v>
                </c:pt>
                <c:pt idx="69">
                  <c:v>243.2</c:v>
                </c:pt>
                <c:pt idx="70">
                  <c:v>247.1</c:v>
                </c:pt>
                <c:pt idx="71">
                  <c:v>250.1</c:v>
                </c:pt>
                <c:pt idx="72">
                  <c:v>253.7</c:v>
                </c:pt>
                <c:pt idx="73">
                  <c:v>256.10000000000002</c:v>
                </c:pt>
                <c:pt idx="74">
                  <c:v>258.2</c:v>
                </c:pt>
                <c:pt idx="75">
                  <c:v>262.5</c:v>
                </c:pt>
                <c:pt idx="76">
                  <c:v>266</c:v>
                </c:pt>
                <c:pt idx="77">
                  <c:v>269.39999999999998</c:v>
                </c:pt>
                <c:pt idx="78">
                  <c:v>272.8</c:v>
                </c:pt>
                <c:pt idx="79">
                  <c:v>275.60000000000002</c:v>
                </c:pt>
                <c:pt idx="80">
                  <c:v>280.39999999999998</c:v>
                </c:pt>
                <c:pt idx="81">
                  <c:v>284.10000000000002</c:v>
                </c:pt>
                <c:pt idx="82">
                  <c:v>288.39999999999998</c:v>
                </c:pt>
                <c:pt idx="83">
                  <c:v>291.7</c:v>
                </c:pt>
                <c:pt idx="84">
                  <c:v>296.7</c:v>
                </c:pt>
                <c:pt idx="85">
                  <c:v>301.5</c:v>
                </c:pt>
                <c:pt idx="86">
                  <c:v>304.7</c:v>
                </c:pt>
                <c:pt idx="87">
                  <c:v>310.2</c:v>
                </c:pt>
                <c:pt idx="88">
                  <c:v>315.7</c:v>
                </c:pt>
                <c:pt idx="89">
                  <c:v>320.10000000000002</c:v>
                </c:pt>
                <c:pt idx="90">
                  <c:v>326.5</c:v>
                </c:pt>
                <c:pt idx="91">
                  <c:v>332.3</c:v>
                </c:pt>
                <c:pt idx="92">
                  <c:v>340.1</c:v>
                </c:pt>
                <c:pt idx="93">
                  <c:v>347</c:v>
                </c:pt>
                <c:pt idx="94">
                  <c:v>355.7</c:v>
                </c:pt>
                <c:pt idx="95">
                  <c:v>364.8</c:v>
                </c:pt>
                <c:pt idx="96">
                  <c:v>375.3</c:v>
                </c:pt>
                <c:pt idx="97">
                  <c:v>388.3</c:v>
                </c:pt>
                <c:pt idx="98">
                  <c:v>404.7</c:v>
                </c:pt>
                <c:pt idx="99">
                  <c:v>429.7</c:v>
                </c:pt>
                <c:pt idx="100">
                  <c:v>450.2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1B-5BEC-4160-B7D4-93799B89C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491951"/>
        <c:axId val="929492431"/>
        <c:extLst>
          <c:ext xmlns:c15="http://schemas.microsoft.com/office/drawing/2012/chart" uri="{02D57815-91ED-43cb-92C2-25804820EDAC}">
            <c15:filteredScatterSeries>
              <c15:ser>
                <c:idx val="9"/>
                <c:order val="8"/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'MEBU HPS LTO DAILY Graph'!$M$121:$M$223</c15:sqref>
                        </c15:formulaRef>
                      </c:ext>
                    </c:extLst>
                    <c:numCache>
                      <c:formatCode>General</c:formatCode>
                      <c:ptCount val="103"/>
                      <c:pt idx="0">
                        <c:v>0</c:v>
                      </c:pt>
                      <c:pt idx="1">
                        <c:v>271224</c:v>
                      </c:pt>
                      <c:pt idx="2">
                        <c:v>11.2</c:v>
                      </c:pt>
                      <c:pt idx="3">
                        <c:v>11.9</c:v>
                      </c:pt>
                      <c:pt idx="4">
                        <c:v>27.8</c:v>
                      </c:pt>
                      <c:pt idx="5">
                        <c:v>36.5</c:v>
                      </c:pt>
                      <c:pt idx="6">
                        <c:v>37</c:v>
                      </c:pt>
                      <c:pt idx="7">
                        <c:v>56.3</c:v>
                      </c:pt>
                      <c:pt idx="8">
                        <c:v>57.9</c:v>
                      </c:pt>
                      <c:pt idx="9">
                        <c:v>68.5</c:v>
                      </c:pt>
                      <c:pt idx="10">
                        <c:v>69.400000000000006</c:v>
                      </c:pt>
                      <c:pt idx="11">
                        <c:v>69.7</c:v>
                      </c:pt>
                      <c:pt idx="12">
                        <c:v>75.400000000000006</c:v>
                      </c:pt>
                      <c:pt idx="13">
                        <c:v>84.4</c:v>
                      </c:pt>
                      <c:pt idx="14">
                        <c:v>88.6</c:v>
                      </c:pt>
                      <c:pt idx="15">
                        <c:v>91</c:v>
                      </c:pt>
                      <c:pt idx="16">
                        <c:v>97.9</c:v>
                      </c:pt>
                      <c:pt idx="17">
                        <c:v>98.7</c:v>
                      </c:pt>
                      <c:pt idx="18">
                        <c:v>99.1</c:v>
                      </c:pt>
                      <c:pt idx="19">
                        <c:v>102.3</c:v>
                      </c:pt>
                      <c:pt idx="20">
                        <c:v>106</c:v>
                      </c:pt>
                      <c:pt idx="21">
                        <c:v>113.4</c:v>
                      </c:pt>
                      <c:pt idx="22">
                        <c:v>117.4</c:v>
                      </c:pt>
                      <c:pt idx="23">
                        <c:v>118.2</c:v>
                      </c:pt>
                      <c:pt idx="24">
                        <c:v>119.8</c:v>
                      </c:pt>
                      <c:pt idx="25">
                        <c:v>126.3</c:v>
                      </c:pt>
                      <c:pt idx="26">
                        <c:v>127.2</c:v>
                      </c:pt>
                      <c:pt idx="27">
                        <c:v>127.6</c:v>
                      </c:pt>
                      <c:pt idx="28">
                        <c:v>133.5</c:v>
                      </c:pt>
                      <c:pt idx="29">
                        <c:v>136.1</c:v>
                      </c:pt>
                      <c:pt idx="30">
                        <c:v>140.9</c:v>
                      </c:pt>
                      <c:pt idx="31">
                        <c:v>143.19999999999999</c:v>
                      </c:pt>
                      <c:pt idx="32">
                        <c:v>145.1</c:v>
                      </c:pt>
                      <c:pt idx="33">
                        <c:v>146.9</c:v>
                      </c:pt>
                      <c:pt idx="34">
                        <c:v>152.1</c:v>
                      </c:pt>
                      <c:pt idx="35">
                        <c:v>153</c:v>
                      </c:pt>
                      <c:pt idx="36">
                        <c:v>153.5</c:v>
                      </c:pt>
                      <c:pt idx="37">
                        <c:v>158.6</c:v>
                      </c:pt>
                      <c:pt idx="38">
                        <c:v>161.80000000000001</c:v>
                      </c:pt>
                      <c:pt idx="39">
                        <c:v>164.3</c:v>
                      </c:pt>
                      <c:pt idx="40">
                        <c:v>167.4</c:v>
                      </c:pt>
                      <c:pt idx="41">
                        <c:v>168.4</c:v>
                      </c:pt>
                      <c:pt idx="42">
                        <c:v>170.2</c:v>
                      </c:pt>
                      <c:pt idx="43">
                        <c:v>172.4</c:v>
                      </c:pt>
                      <c:pt idx="44">
                        <c:v>176.6</c:v>
                      </c:pt>
                      <c:pt idx="45">
                        <c:v>177.2</c:v>
                      </c:pt>
                      <c:pt idx="46">
                        <c:v>179.1</c:v>
                      </c:pt>
                      <c:pt idx="47">
                        <c:v>182.3</c:v>
                      </c:pt>
                      <c:pt idx="48">
                        <c:v>185.1</c:v>
                      </c:pt>
                      <c:pt idx="49">
                        <c:v>187.6</c:v>
                      </c:pt>
                      <c:pt idx="50">
                        <c:v>190.6</c:v>
                      </c:pt>
                      <c:pt idx="51">
                        <c:v>192</c:v>
                      </c:pt>
                      <c:pt idx="52">
                        <c:v>195.9</c:v>
                      </c:pt>
                      <c:pt idx="53">
                        <c:v>198.5</c:v>
                      </c:pt>
                      <c:pt idx="54">
                        <c:v>199.1</c:v>
                      </c:pt>
                      <c:pt idx="55">
                        <c:v>202.2</c:v>
                      </c:pt>
                      <c:pt idx="56">
                        <c:v>204.7</c:v>
                      </c:pt>
                      <c:pt idx="57">
                        <c:v>206.7</c:v>
                      </c:pt>
                      <c:pt idx="58">
                        <c:v>209.2</c:v>
                      </c:pt>
                      <c:pt idx="59">
                        <c:v>211.7</c:v>
                      </c:pt>
                      <c:pt idx="60">
                        <c:v>214.6</c:v>
                      </c:pt>
                      <c:pt idx="61">
                        <c:v>217.7</c:v>
                      </c:pt>
                      <c:pt idx="62">
                        <c:v>218.7</c:v>
                      </c:pt>
                      <c:pt idx="63">
                        <c:v>221.1</c:v>
                      </c:pt>
                      <c:pt idx="64">
                        <c:v>223.9</c:v>
                      </c:pt>
                      <c:pt idx="65">
                        <c:v>227</c:v>
                      </c:pt>
                      <c:pt idx="66">
                        <c:v>229.8</c:v>
                      </c:pt>
                      <c:pt idx="67">
                        <c:v>232</c:v>
                      </c:pt>
                      <c:pt idx="68">
                        <c:v>235.6</c:v>
                      </c:pt>
                      <c:pt idx="69">
                        <c:v>237.4</c:v>
                      </c:pt>
                      <c:pt idx="70">
                        <c:v>239.4</c:v>
                      </c:pt>
                      <c:pt idx="71">
                        <c:v>243.2</c:v>
                      </c:pt>
                      <c:pt idx="72">
                        <c:v>247.1</c:v>
                      </c:pt>
                      <c:pt idx="73">
                        <c:v>250.1</c:v>
                      </c:pt>
                      <c:pt idx="74">
                        <c:v>253.8</c:v>
                      </c:pt>
                      <c:pt idx="75">
                        <c:v>256</c:v>
                      </c:pt>
                      <c:pt idx="76">
                        <c:v>258.2</c:v>
                      </c:pt>
                      <c:pt idx="77">
                        <c:v>262.60000000000002</c:v>
                      </c:pt>
                      <c:pt idx="78">
                        <c:v>266</c:v>
                      </c:pt>
                      <c:pt idx="79">
                        <c:v>269.39999999999998</c:v>
                      </c:pt>
                      <c:pt idx="80">
                        <c:v>272.8</c:v>
                      </c:pt>
                      <c:pt idx="81">
                        <c:v>275.7</c:v>
                      </c:pt>
                      <c:pt idx="82">
                        <c:v>280.39999999999998</c:v>
                      </c:pt>
                      <c:pt idx="83">
                        <c:v>284.10000000000002</c:v>
                      </c:pt>
                      <c:pt idx="84">
                        <c:v>288.39999999999998</c:v>
                      </c:pt>
                      <c:pt idx="85">
                        <c:v>291.7</c:v>
                      </c:pt>
                      <c:pt idx="86">
                        <c:v>296.7</c:v>
                      </c:pt>
                      <c:pt idx="87">
                        <c:v>301.5</c:v>
                      </c:pt>
                      <c:pt idx="88">
                        <c:v>304.7</c:v>
                      </c:pt>
                      <c:pt idx="89">
                        <c:v>310.2</c:v>
                      </c:pt>
                      <c:pt idx="90">
                        <c:v>315.60000000000002</c:v>
                      </c:pt>
                      <c:pt idx="91">
                        <c:v>320</c:v>
                      </c:pt>
                      <c:pt idx="92">
                        <c:v>326.39999999999998</c:v>
                      </c:pt>
                      <c:pt idx="93">
                        <c:v>332.1</c:v>
                      </c:pt>
                      <c:pt idx="94">
                        <c:v>339.9</c:v>
                      </c:pt>
                      <c:pt idx="95">
                        <c:v>346.7</c:v>
                      </c:pt>
                      <c:pt idx="96">
                        <c:v>355.4</c:v>
                      </c:pt>
                      <c:pt idx="97">
                        <c:v>364.4</c:v>
                      </c:pt>
                      <c:pt idx="98">
                        <c:v>374.7</c:v>
                      </c:pt>
                      <c:pt idx="99">
                        <c:v>387.6</c:v>
                      </c:pt>
                      <c:pt idx="100">
                        <c:v>403.7</c:v>
                      </c:pt>
                      <c:pt idx="101">
                        <c:v>428</c:v>
                      </c:pt>
                      <c:pt idx="102">
                        <c:v>447.6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1C-5BEC-4160-B7D4-93799B89CCD6}"/>
                  </c:ext>
                </c:extLst>
              </c15:ser>
            </c15:filteredScatterSeries>
            <c15:filteredScatterSeries>
              <c15:ser>
                <c:idx val="10"/>
                <c:order val="9"/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'MEBU HPS LTO DAILY Graph'!$N$121:$N$223</c15:sqref>
                        </c15:formulaRef>
                      </c:ext>
                    </c:extLst>
                    <c:numCache>
                      <c:formatCode>General</c:formatCode>
                      <c:ptCount val="103"/>
                      <c:pt idx="0">
                        <c:v>0</c:v>
                      </c:pt>
                      <c:pt idx="1">
                        <c:v>281224</c:v>
                      </c:pt>
                      <c:pt idx="2">
                        <c:v>11.4</c:v>
                      </c:pt>
                      <c:pt idx="3">
                        <c:v>12.2</c:v>
                      </c:pt>
                      <c:pt idx="4">
                        <c:v>28.4</c:v>
                      </c:pt>
                      <c:pt idx="5">
                        <c:v>36.9</c:v>
                      </c:pt>
                      <c:pt idx="6">
                        <c:v>37.4</c:v>
                      </c:pt>
                      <c:pt idx="7">
                        <c:v>57.3</c:v>
                      </c:pt>
                      <c:pt idx="8">
                        <c:v>58.7</c:v>
                      </c:pt>
                      <c:pt idx="9">
                        <c:v>69.400000000000006</c:v>
                      </c:pt>
                      <c:pt idx="10">
                        <c:v>70</c:v>
                      </c:pt>
                      <c:pt idx="11">
                        <c:v>70.400000000000006</c:v>
                      </c:pt>
                      <c:pt idx="12">
                        <c:v>76.2</c:v>
                      </c:pt>
                      <c:pt idx="13">
                        <c:v>88.4</c:v>
                      </c:pt>
                      <c:pt idx="14">
                        <c:v>89.8</c:v>
                      </c:pt>
                      <c:pt idx="15">
                        <c:v>92.3</c:v>
                      </c:pt>
                      <c:pt idx="16">
                        <c:v>99.2</c:v>
                      </c:pt>
                      <c:pt idx="17">
                        <c:v>99.8</c:v>
                      </c:pt>
                      <c:pt idx="18">
                        <c:v>100.2</c:v>
                      </c:pt>
                      <c:pt idx="19">
                        <c:v>103.4</c:v>
                      </c:pt>
                      <c:pt idx="20">
                        <c:v>107.3</c:v>
                      </c:pt>
                      <c:pt idx="21">
                        <c:v>114.4</c:v>
                      </c:pt>
                      <c:pt idx="22">
                        <c:v>118.3</c:v>
                      </c:pt>
                      <c:pt idx="23">
                        <c:v>119.3</c:v>
                      </c:pt>
                      <c:pt idx="24">
                        <c:v>121</c:v>
                      </c:pt>
                      <c:pt idx="25">
                        <c:v>127.2</c:v>
                      </c:pt>
                      <c:pt idx="26">
                        <c:v>127.9</c:v>
                      </c:pt>
                      <c:pt idx="27">
                        <c:v>128.30000000000001</c:v>
                      </c:pt>
                      <c:pt idx="28">
                        <c:v>134.1</c:v>
                      </c:pt>
                      <c:pt idx="29">
                        <c:v>137</c:v>
                      </c:pt>
                      <c:pt idx="30">
                        <c:v>141.5</c:v>
                      </c:pt>
                      <c:pt idx="31">
                        <c:v>143.9</c:v>
                      </c:pt>
                      <c:pt idx="32">
                        <c:v>145.80000000000001</c:v>
                      </c:pt>
                      <c:pt idx="33">
                        <c:v>147.4</c:v>
                      </c:pt>
                      <c:pt idx="34">
                        <c:v>152.69999999999999</c:v>
                      </c:pt>
                      <c:pt idx="35">
                        <c:v>153.5</c:v>
                      </c:pt>
                      <c:pt idx="36">
                        <c:v>154</c:v>
                      </c:pt>
                      <c:pt idx="37">
                        <c:v>159.1</c:v>
                      </c:pt>
                      <c:pt idx="38">
                        <c:v>162.30000000000001</c:v>
                      </c:pt>
                      <c:pt idx="39">
                        <c:v>164.6</c:v>
                      </c:pt>
                      <c:pt idx="40">
                        <c:v>167.8</c:v>
                      </c:pt>
                      <c:pt idx="41">
                        <c:v>168.6</c:v>
                      </c:pt>
                      <c:pt idx="42">
                        <c:v>170.6</c:v>
                      </c:pt>
                      <c:pt idx="43">
                        <c:v>172.8</c:v>
                      </c:pt>
                      <c:pt idx="44">
                        <c:v>176.8</c:v>
                      </c:pt>
                      <c:pt idx="45">
                        <c:v>177.5</c:v>
                      </c:pt>
                      <c:pt idx="46">
                        <c:v>179.5</c:v>
                      </c:pt>
                      <c:pt idx="47">
                        <c:v>182.5</c:v>
                      </c:pt>
                      <c:pt idx="48">
                        <c:v>185.3</c:v>
                      </c:pt>
                      <c:pt idx="49">
                        <c:v>187.9</c:v>
                      </c:pt>
                      <c:pt idx="50">
                        <c:v>190.8</c:v>
                      </c:pt>
                      <c:pt idx="51">
                        <c:v>192.2</c:v>
                      </c:pt>
                      <c:pt idx="52">
                        <c:v>196</c:v>
                      </c:pt>
                      <c:pt idx="53">
                        <c:v>198.6</c:v>
                      </c:pt>
                      <c:pt idx="54">
                        <c:v>199.3</c:v>
                      </c:pt>
                      <c:pt idx="55">
                        <c:v>202.3</c:v>
                      </c:pt>
                      <c:pt idx="56">
                        <c:v>204.8</c:v>
                      </c:pt>
                      <c:pt idx="57">
                        <c:v>206.8</c:v>
                      </c:pt>
                      <c:pt idx="58">
                        <c:v>209.3</c:v>
                      </c:pt>
                      <c:pt idx="59">
                        <c:v>211.8</c:v>
                      </c:pt>
                      <c:pt idx="60">
                        <c:v>214.6</c:v>
                      </c:pt>
                      <c:pt idx="61">
                        <c:v>217.7</c:v>
                      </c:pt>
                      <c:pt idx="62">
                        <c:v>218.8</c:v>
                      </c:pt>
                      <c:pt idx="63">
                        <c:v>221.2</c:v>
                      </c:pt>
                      <c:pt idx="64">
                        <c:v>224</c:v>
                      </c:pt>
                      <c:pt idx="65">
                        <c:v>227.1</c:v>
                      </c:pt>
                      <c:pt idx="66">
                        <c:v>229.8</c:v>
                      </c:pt>
                      <c:pt idx="67">
                        <c:v>232</c:v>
                      </c:pt>
                      <c:pt idx="68">
                        <c:v>235.6</c:v>
                      </c:pt>
                      <c:pt idx="69">
                        <c:v>237.5</c:v>
                      </c:pt>
                      <c:pt idx="70">
                        <c:v>239.4</c:v>
                      </c:pt>
                      <c:pt idx="71">
                        <c:v>243.2</c:v>
                      </c:pt>
                      <c:pt idx="72">
                        <c:v>247.1</c:v>
                      </c:pt>
                      <c:pt idx="73">
                        <c:v>250.1</c:v>
                      </c:pt>
                      <c:pt idx="74">
                        <c:v>253.7</c:v>
                      </c:pt>
                      <c:pt idx="75">
                        <c:v>256.10000000000002</c:v>
                      </c:pt>
                      <c:pt idx="76">
                        <c:v>258.2</c:v>
                      </c:pt>
                      <c:pt idx="77">
                        <c:v>262.5</c:v>
                      </c:pt>
                      <c:pt idx="78">
                        <c:v>266</c:v>
                      </c:pt>
                      <c:pt idx="79">
                        <c:v>269.39999999999998</c:v>
                      </c:pt>
                      <c:pt idx="80">
                        <c:v>272.8</c:v>
                      </c:pt>
                      <c:pt idx="81">
                        <c:v>275.60000000000002</c:v>
                      </c:pt>
                      <c:pt idx="82">
                        <c:v>280.39999999999998</c:v>
                      </c:pt>
                      <c:pt idx="83">
                        <c:v>284.10000000000002</c:v>
                      </c:pt>
                      <c:pt idx="84">
                        <c:v>288.39999999999998</c:v>
                      </c:pt>
                      <c:pt idx="85">
                        <c:v>291.7</c:v>
                      </c:pt>
                      <c:pt idx="86">
                        <c:v>296.7</c:v>
                      </c:pt>
                      <c:pt idx="87">
                        <c:v>301.5</c:v>
                      </c:pt>
                      <c:pt idx="88">
                        <c:v>304.7</c:v>
                      </c:pt>
                      <c:pt idx="89">
                        <c:v>310.2</c:v>
                      </c:pt>
                      <c:pt idx="90">
                        <c:v>315.7</c:v>
                      </c:pt>
                      <c:pt idx="91">
                        <c:v>320.10000000000002</c:v>
                      </c:pt>
                      <c:pt idx="92">
                        <c:v>326.5</c:v>
                      </c:pt>
                      <c:pt idx="93">
                        <c:v>332.3</c:v>
                      </c:pt>
                      <c:pt idx="94">
                        <c:v>340.1</c:v>
                      </c:pt>
                      <c:pt idx="95">
                        <c:v>347</c:v>
                      </c:pt>
                      <c:pt idx="96">
                        <c:v>355.7</c:v>
                      </c:pt>
                      <c:pt idx="97">
                        <c:v>364.8</c:v>
                      </c:pt>
                      <c:pt idx="98">
                        <c:v>375.3</c:v>
                      </c:pt>
                      <c:pt idx="99">
                        <c:v>388.3</c:v>
                      </c:pt>
                      <c:pt idx="100">
                        <c:v>404.7</c:v>
                      </c:pt>
                      <c:pt idx="101">
                        <c:v>429.7</c:v>
                      </c:pt>
                      <c:pt idx="102">
                        <c:v>450.2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5BEC-4160-B7D4-93799B89CCD6}"/>
                  </c:ext>
                </c:extLst>
              </c15:ser>
            </c15:filteredScatterSeries>
          </c:ext>
        </c:extLst>
      </c:scatterChart>
      <c:valAx>
        <c:axId val="929491951"/>
        <c:scaling>
          <c:orientation val="minMax"/>
          <c:max val="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</a:rPr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929492431"/>
        <c:crosses val="autoZero"/>
        <c:crossBetween val="midCat"/>
      </c:valAx>
      <c:valAx>
        <c:axId val="92949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Century Gothic" panose="020B0502020202020204" pitchFamily="34" charset="0"/>
                  </a:rPr>
                  <a:t>BP (deg.C)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929491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alpha val="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HPS Simdist Pilot vs Mainlab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Pilot Day 4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'MEBU HPS LTO DAILY Graph'!$D$123:$D$223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Graph'!$Q$123:$Q$213</c:f>
              <c:numCache>
                <c:formatCode>General</c:formatCode>
                <c:ptCount val="91"/>
                <c:pt idx="0">
                  <c:v>100</c:v>
                </c:pt>
                <c:pt idx="1">
                  <c:v>126</c:v>
                </c:pt>
                <c:pt idx="2">
                  <c:v>152</c:v>
                </c:pt>
                <c:pt idx="3">
                  <c:v>172</c:v>
                </c:pt>
                <c:pt idx="4">
                  <c:v>187</c:v>
                </c:pt>
                <c:pt idx="5">
                  <c:v>199</c:v>
                </c:pt>
                <c:pt idx="6">
                  <c:v>210</c:v>
                </c:pt>
                <c:pt idx="7">
                  <c:v>220</c:v>
                </c:pt>
                <c:pt idx="8">
                  <c:v>230</c:v>
                </c:pt>
                <c:pt idx="9">
                  <c:v>238</c:v>
                </c:pt>
                <c:pt idx="10">
                  <c:v>248</c:v>
                </c:pt>
                <c:pt idx="11">
                  <c:v>255</c:v>
                </c:pt>
                <c:pt idx="12">
                  <c:v>263</c:v>
                </c:pt>
                <c:pt idx="13">
                  <c:v>271</c:v>
                </c:pt>
                <c:pt idx="14">
                  <c:v>279</c:v>
                </c:pt>
                <c:pt idx="15">
                  <c:v>286</c:v>
                </c:pt>
                <c:pt idx="16">
                  <c:v>293</c:v>
                </c:pt>
                <c:pt idx="17">
                  <c:v>300</c:v>
                </c:pt>
                <c:pt idx="18">
                  <c:v>306</c:v>
                </c:pt>
                <c:pt idx="19">
                  <c:v>312</c:v>
                </c:pt>
                <c:pt idx="20">
                  <c:v>317</c:v>
                </c:pt>
                <c:pt idx="21">
                  <c:v>323</c:v>
                </c:pt>
                <c:pt idx="22">
                  <c:v>329</c:v>
                </c:pt>
                <c:pt idx="23">
                  <c:v>335</c:v>
                </c:pt>
                <c:pt idx="24">
                  <c:v>340</c:v>
                </c:pt>
                <c:pt idx="25">
                  <c:v>345</c:v>
                </c:pt>
                <c:pt idx="26">
                  <c:v>350</c:v>
                </c:pt>
                <c:pt idx="27">
                  <c:v>356</c:v>
                </c:pt>
                <c:pt idx="28">
                  <c:v>360</c:v>
                </c:pt>
                <c:pt idx="29">
                  <c:v>365</c:v>
                </c:pt>
                <c:pt idx="30">
                  <c:v>370</c:v>
                </c:pt>
                <c:pt idx="31">
                  <c:v>375</c:v>
                </c:pt>
                <c:pt idx="32">
                  <c:v>379</c:v>
                </c:pt>
                <c:pt idx="33">
                  <c:v>384</c:v>
                </c:pt>
                <c:pt idx="34">
                  <c:v>388</c:v>
                </c:pt>
                <c:pt idx="35">
                  <c:v>393</c:v>
                </c:pt>
                <c:pt idx="36">
                  <c:v>397</c:v>
                </c:pt>
                <c:pt idx="37">
                  <c:v>402</c:v>
                </c:pt>
                <c:pt idx="38">
                  <c:v>407</c:v>
                </c:pt>
                <c:pt idx="39">
                  <c:v>411</c:v>
                </c:pt>
                <c:pt idx="40">
                  <c:v>416</c:v>
                </c:pt>
                <c:pt idx="41">
                  <c:v>420</c:v>
                </c:pt>
                <c:pt idx="42">
                  <c:v>424</c:v>
                </c:pt>
                <c:pt idx="43">
                  <c:v>429</c:v>
                </c:pt>
                <c:pt idx="44">
                  <c:v>433</c:v>
                </c:pt>
                <c:pt idx="45">
                  <c:v>438</c:v>
                </c:pt>
                <c:pt idx="46">
                  <c:v>442</c:v>
                </c:pt>
                <c:pt idx="47">
                  <c:v>446</c:v>
                </c:pt>
                <c:pt idx="48">
                  <c:v>451</c:v>
                </c:pt>
                <c:pt idx="49">
                  <c:v>455</c:v>
                </c:pt>
                <c:pt idx="50">
                  <c:v>460</c:v>
                </c:pt>
                <c:pt idx="51">
                  <c:v>464</c:v>
                </c:pt>
                <c:pt idx="52">
                  <c:v>469</c:v>
                </c:pt>
                <c:pt idx="53">
                  <c:v>473</c:v>
                </c:pt>
                <c:pt idx="54">
                  <c:v>478</c:v>
                </c:pt>
                <c:pt idx="55">
                  <c:v>482</c:v>
                </c:pt>
                <c:pt idx="56">
                  <c:v>487</c:v>
                </c:pt>
                <c:pt idx="57">
                  <c:v>491</c:v>
                </c:pt>
                <c:pt idx="58">
                  <c:v>496</c:v>
                </c:pt>
                <c:pt idx="59">
                  <c:v>500</c:v>
                </c:pt>
                <c:pt idx="60">
                  <c:v>504</c:v>
                </c:pt>
                <c:pt idx="61">
                  <c:v>509</c:v>
                </c:pt>
                <c:pt idx="62">
                  <c:v>513</c:v>
                </c:pt>
                <c:pt idx="63">
                  <c:v>518</c:v>
                </c:pt>
                <c:pt idx="64">
                  <c:v>522</c:v>
                </c:pt>
                <c:pt idx="65">
                  <c:v>526</c:v>
                </c:pt>
                <c:pt idx="66">
                  <c:v>531</c:v>
                </c:pt>
                <c:pt idx="67">
                  <c:v>535</c:v>
                </c:pt>
                <c:pt idx="68">
                  <c:v>539</c:v>
                </c:pt>
                <c:pt idx="69">
                  <c:v>543</c:v>
                </c:pt>
                <c:pt idx="70">
                  <c:v>547</c:v>
                </c:pt>
                <c:pt idx="71">
                  <c:v>552</c:v>
                </c:pt>
                <c:pt idx="72">
                  <c:v>556</c:v>
                </c:pt>
                <c:pt idx="73">
                  <c:v>560</c:v>
                </c:pt>
                <c:pt idx="74">
                  <c:v>564</c:v>
                </c:pt>
                <c:pt idx="75">
                  <c:v>568</c:v>
                </c:pt>
                <c:pt idx="76">
                  <c:v>572</c:v>
                </c:pt>
                <c:pt idx="77">
                  <c:v>576</c:v>
                </c:pt>
                <c:pt idx="78">
                  <c:v>581</c:v>
                </c:pt>
                <c:pt idx="79">
                  <c:v>585</c:v>
                </c:pt>
                <c:pt idx="80">
                  <c:v>590</c:v>
                </c:pt>
                <c:pt idx="81">
                  <c:v>594</c:v>
                </c:pt>
                <c:pt idx="82">
                  <c:v>599</c:v>
                </c:pt>
                <c:pt idx="83">
                  <c:v>604</c:v>
                </c:pt>
                <c:pt idx="84">
                  <c:v>609</c:v>
                </c:pt>
                <c:pt idx="85">
                  <c:v>614</c:v>
                </c:pt>
                <c:pt idx="86">
                  <c:v>620</c:v>
                </c:pt>
                <c:pt idx="87">
                  <c:v>626</c:v>
                </c:pt>
                <c:pt idx="88">
                  <c:v>633</c:v>
                </c:pt>
                <c:pt idx="89">
                  <c:v>639</c:v>
                </c:pt>
                <c:pt idx="90">
                  <c:v>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D5-4157-BD24-86DC567F307C}"/>
            </c:ext>
          </c:extLst>
        </c:ser>
        <c:ser>
          <c:idx val="1"/>
          <c:order val="1"/>
          <c:tx>
            <c:v>Mainlab Day 4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'MEBU HPS LTO DAILY Graph'!$D$123:$D$223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Graph'!$R$123:$R$218</c:f>
              <c:numCache>
                <c:formatCode>General</c:formatCode>
                <c:ptCount val="96"/>
                <c:pt idx="0">
                  <c:v>95.55</c:v>
                </c:pt>
                <c:pt idx="1">
                  <c:v>121.33</c:v>
                </c:pt>
                <c:pt idx="2">
                  <c:v>152.68</c:v>
                </c:pt>
                <c:pt idx="3">
                  <c:v>172.57</c:v>
                </c:pt>
                <c:pt idx="4">
                  <c:v>189.45</c:v>
                </c:pt>
                <c:pt idx="5">
                  <c:v>203.23</c:v>
                </c:pt>
                <c:pt idx="6">
                  <c:v>215.87</c:v>
                </c:pt>
                <c:pt idx="7">
                  <c:v>226.97</c:v>
                </c:pt>
                <c:pt idx="8">
                  <c:v>237.07</c:v>
                </c:pt>
                <c:pt idx="9">
                  <c:v>248.03</c:v>
                </c:pt>
                <c:pt idx="10">
                  <c:v>256.95999999999998</c:v>
                </c:pt>
                <c:pt idx="11">
                  <c:v>265.81</c:v>
                </c:pt>
                <c:pt idx="12">
                  <c:v>273.86</c:v>
                </c:pt>
                <c:pt idx="13">
                  <c:v>281.76</c:v>
                </c:pt>
                <c:pt idx="14">
                  <c:v>289.23</c:v>
                </c:pt>
                <c:pt idx="15">
                  <c:v>296.06</c:v>
                </c:pt>
                <c:pt idx="16">
                  <c:v>302.16000000000003</c:v>
                </c:pt>
                <c:pt idx="17">
                  <c:v>308.88</c:v>
                </c:pt>
                <c:pt idx="18">
                  <c:v>314.67</c:v>
                </c:pt>
                <c:pt idx="19">
                  <c:v>321.02999999999997</c:v>
                </c:pt>
                <c:pt idx="20">
                  <c:v>327.3</c:v>
                </c:pt>
                <c:pt idx="21">
                  <c:v>332.78</c:v>
                </c:pt>
                <c:pt idx="22">
                  <c:v>338.53</c:v>
                </c:pt>
                <c:pt idx="23">
                  <c:v>343.73</c:v>
                </c:pt>
                <c:pt idx="24">
                  <c:v>349.23</c:v>
                </c:pt>
                <c:pt idx="25">
                  <c:v>354.39</c:v>
                </c:pt>
                <c:pt idx="26">
                  <c:v>359.48</c:v>
                </c:pt>
                <c:pt idx="27">
                  <c:v>364.34</c:v>
                </c:pt>
                <c:pt idx="28">
                  <c:v>369.2</c:v>
                </c:pt>
                <c:pt idx="29">
                  <c:v>374.25</c:v>
                </c:pt>
                <c:pt idx="30">
                  <c:v>378.86</c:v>
                </c:pt>
                <c:pt idx="31">
                  <c:v>383.9</c:v>
                </c:pt>
                <c:pt idx="32">
                  <c:v>388.7</c:v>
                </c:pt>
                <c:pt idx="33">
                  <c:v>393.42</c:v>
                </c:pt>
                <c:pt idx="34">
                  <c:v>398.17</c:v>
                </c:pt>
                <c:pt idx="35">
                  <c:v>402.57</c:v>
                </c:pt>
                <c:pt idx="36">
                  <c:v>407.41</c:v>
                </c:pt>
                <c:pt idx="37">
                  <c:v>411.91</c:v>
                </c:pt>
                <c:pt idx="38">
                  <c:v>416.63</c:v>
                </c:pt>
                <c:pt idx="39">
                  <c:v>421.22</c:v>
                </c:pt>
                <c:pt idx="40">
                  <c:v>425.72</c:v>
                </c:pt>
                <c:pt idx="41">
                  <c:v>430.37</c:v>
                </c:pt>
                <c:pt idx="42">
                  <c:v>435.22</c:v>
                </c:pt>
                <c:pt idx="43">
                  <c:v>439.82</c:v>
                </c:pt>
                <c:pt idx="44">
                  <c:v>444.6</c:v>
                </c:pt>
                <c:pt idx="45">
                  <c:v>449.15</c:v>
                </c:pt>
                <c:pt idx="46">
                  <c:v>453.98</c:v>
                </c:pt>
                <c:pt idx="47">
                  <c:v>458.68</c:v>
                </c:pt>
                <c:pt idx="48">
                  <c:v>463.34</c:v>
                </c:pt>
                <c:pt idx="49">
                  <c:v>468.03</c:v>
                </c:pt>
                <c:pt idx="50">
                  <c:v>472.52</c:v>
                </c:pt>
                <c:pt idx="51">
                  <c:v>477.15</c:v>
                </c:pt>
                <c:pt idx="52">
                  <c:v>481.73</c:v>
                </c:pt>
                <c:pt idx="53">
                  <c:v>486.34</c:v>
                </c:pt>
                <c:pt idx="54">
                  <c:v>490.97</c:v>
                </c:pt>
                <c:pt idx="55">
                  <c:v>495.52</c:v>
                </c:pt>
                <c:pt idx="56">
                  <c:v>500.01</c:v>
                </c:pt>
                <c:pt idx="57">
                  <c:v>504.41</c:v>
                </c:pt>
                <c:pt idx="58">
                  <c:v>508.8</c:v>
                </c:pt>
                <c:pt idx="59">
                  <c:v>513.23</c:v>
                </c:pt>
                <c:pt idx="60">
                  <c:v>517.64</c:v>
                </c:pt>
                <c:pt idx="61">
                  <c:v>522.02</c:v>
                </c:pt>
                <c:pt idx="62">
                  <c:v>526.29</c:v>
                </c:pt>
                <c:pt idx="63">
                  <c:v>530.55999999999995</c:v>
                </c:pt>
                <c:pt idx="64">
                  <c:v>534.79</c:v>
                </c:pt>
                <c:pt idx="65">
                  <c:v>539.03</c:v>
                </c:pt>
                <c:pt idx="66">
                  <c:v>543.24</c:v>
                </c:pt>
                <c:pt idx="67">
                  <c:v>547.48</c:v>
                </c:pt>
                <c:pt idx="68">
                  <c:v>551.72</c:v>
                </c:pt>
                <c:pt idx="69">
                  <c:v>555.95000000000005</c:v>
                </c:pt>
                <c:pt idx="70">
                  <c:v>559.91999999999996</c:v>
                </c:pt>
                <c:pt idx="71">
                  <c:v>563.94000000000005</c:v>
                </c:pt>
                <c:pt idx="72">
                  <c:v>568.01</c:v>
                </c:pt>
                <c:pt idx="73">
                  <c:v>572.16</c:v>
                </c:pt>
                <c:pt idx="74">
                  <c:v>576.42999999999995</c:v>
                </c:pt>
                <c:pt idx="75">
                  <c:v>580.87</c:v>
                </c:pt>
                <c:pt idx="76">
                  <c:v>585.37</c:v>
                </c:pt>
                <c:pt idx="77">
                  <c:v>589.85</c:v>
                </c:pt>
                <c:pt idx="78">
                  <c:v>594.52</c:v>
                </c:pt>
                <c:pt idx="79">
                  <c:v>599.4</c:v>
                </c:pt>
                <c:pt idx="80">
                  <c:v>604.59</c:v>
                </c:pt>
                <c:pt idx="81">
                  <c:v>610.08000000000004</c:v>
                </c:pt>
                <c:pt idx="82">
                  <c:v>615.77</c:v>
                </c:pt>
                <c:pt idx="83">
                  <c:v>621.67999999999995</c:v>
                </c:pt>
                <c:pt idx="84">
                  <c:v>627.92999999999995</c:v>
                </c:pt>
                <c:pt idx="85">
                  <c:v>634.57000000000005</c:v>
                </c:pt>
                <c:pt idx="86">
                  <c:v>641.54</c:v>
                </c:pt>
                <c:pt idx="87">
                  <c:v>649.09</c:v>
                </c:pt>
                <c:pt idx="88">
                  <c:v>657.37</c:v>
                </c:pt>
                <c:pt idx="89">
                  <c:v>666.4</c:v>
                </c:pt>
                <c:pt idx="90">
                  <c:v>676.07</c:v>
                </c:pt>
                <c:pt idx="91">
                  <c:v>686.95</c:v>
                </c:pt>
                <c:pt idx="92">
                  <c:v>697.83</c:v>
                </c:pt>
                <c:pt idx="93">
                  <c:v>708.49</c:v>
                </c:pt>
                <c:pt idx="94">
                  <c:v>720.1</c:v>
                </c:pt>
                <c:pt idx="95">
                  <c:v>722.84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D5-4157-BD24-86DC567F307C}"/>
            </c:ext>
          </c:extLst>
        </c:ser>
        <c:ser>
          <c:idx val="2"/>
          <c:order val="2"/>
          <c:tx>
            <c:v>Pilot Day 9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'MEBU HPS LTO DAILY Graph'!$D$123:$D$223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Graph'!$S$123:$S$208</c:f>
              <c:numCache>
                <c:formatCode>General</c:formatCode>
                <c:ptCount val="86"/>
                <c:pt idx="0">
                  <c:v>97</c:v>
                </c:pt>
                <c:pt idx="1">
                  <c:v>120</c:v>
                </c:pt>
                <c:pt idx="2">
                  <c:v>150</c:v>
                </c:pt>
                <c:pt idx="3">
                  <c:v>169</c:v>
                </c:pt>
                <c:pt idx="4">
                  <c:v>185</c:v>
                </c:pt>
                <c:pt idx="5">
                  <c:v>198</c:v>
                </c:pt>
                <c:pt idx="6">
                  <c:v>209</c:v>
                </c:pt>
                <c:pt idx="7">
                  <c:v>219</c:v>
                </c:pt>
                <c:pt idx="8">
                  <c:v>229</c:v>
                </c:pt>
                <c:pt idx="9">
                  <c:v>238</c:v>
                </c:pt>
                <c:pt idx="10">
                  <c:v>247</c:v>
                </c:pt>
                <c:pt idx="11">
                  <c:v>255</c:v>
                </c:pt>
                <c:pt idx="12">
                  <c:v>263</c:v>
                </c:pt>
                <c:pt idx="13">
                  <c:v>271</c:v>
                </c:pt>
                <c:pt idx="14">
                  <c:v>279</c:v>
                </c:pt>
                <c:pt idx="15">
                  <c:v>286</c:v>
                </c:pt>
                <c:pt idx="16">
                  <c:v>293</c:v>
                </c:pt>
                <c:pt idx="17">
                  <c:v>300</c:v>
                </c:pt>
                <c:pt idx="18">
                  <c:v>306</c:v>
                </c:pt>
                <c:pt idx="19">
                  <c:v>312</c:v>
                </c:pt>
                <c:pt idx="20">
                  <c:v>318</c:v>
                </c:pt>
                <c:pt idx="21">
                  <c:v>324</c:v>
                </c:pt>
                <c:pt idx="22">
                  <c:v>329</c:v>
                </c:pt>
                <c:pt idx="23">
                  <c:v>335</c:v>
                </c:pt>
                <c:pt idx="24">
                  <c:v>341</c:v>
                </c:pt>
                <c:pt idx="25">
                  <c:v>345</c:v>
                </c:pt>
                <c:pt idx="26">
                  <c:v>351</c:v>
                </c:pt>
                <c:pt idx="27">
                  <c:v>356</c:v>
                </c:pt>
                <c:pt idx="28">
                  <c:v>361</c:v>
                </c:pt>
                <c:pt idx="29">
                  <c:v>366</c:v>
                </c:pt>
                <c:pt idx="30">
                  <c:v>371</c:v>
                </c:pt>
                <c:pt idx="31">
                  <c:v>375</c:v>
                </c:pt>
                <c:pt idx="32">
                  <c:v>380</c:v>
                </c:pt>
                <c:pt idx="33">
                  <c:v>385</c:v>
                </c:pt>
                <c:pt idx="34">
                  <c:v>389</c:v>
                </c:pt>
                <c:pt idx="35">
                  <c:v>394</c:v>
                </c:pt>
                <c:pt idx="36">
                  <c:v>399</c:v>
                </c:pt>
                <c:pt idx="37">
                  <c:v>403</c:v>
                </c:pt>
                <c:pt idx="38">
                  <c:v>408</c:v>
                </c:pt>
                <c:pt idx="39">
                  <c:v>412</c:v>
                </c:pt>
                <c:pt idx="40">
                  <c:v>417</c:v>
                </c:pt>
                <c:pt idx="41">
                  <c:v>421</c:v>
                </c:pt>
                <c:pt idx="42">
                  <c:v>426</c:v>
                </c:pt>
                <c:pt idx="43">
                  <c:v>430</c:v>
                </c:pt>
                <c:pt idx="44">
                  <c:v>435</c:v>
                </c:pt>
                <c:pt idx="45">
                  <c:v>440</c:v>
                </c:pt>
                <c:pt idx="46">
                  <c:v>444</c:v>
                </c:pt>
                <c:pt idx="47">
                  <c:v>449</c:v>
                </c:pt>
                <c:pt idx="48">
                  <c:v>453</c:v>
                </c:pt>
                <c:pt idx="49">
                  <c:v>458</c:v>
                </c:pt>
                <c:pt idx="50">
                  <c:v>463</c:v>
                </c:pt>
                <c:pt idx="51">
                  <c:v>467</c:v>
                </c:pt>
                <c:pt idx="52">
                  <c:v>472</c:v>
                </c:pt>
                <c:pt idx="53">
                  <c:v>477</c:v>
                </c:pt>
                <c:pt idx="54">
                  <c:v>481</c:v>
                </c:pt>
                <c:pt idx="55">
                  <c:v>486</c:v>
                </c:pt>
                <c:pt idx="56">
                  <c:v>491</c:v>
                </c:pt>
                <c:pt idx="57">
                  <c:v>496</c:v>
                </c:pt>
                <c:pt idx="58">
                  <c:v>500</c:v>
                </c:pt>
                <c:pt idx="59">
                  <c:v>505</c:v>
                </c:pt>
                <c:pt idx="60">
                  <c:v>509</c:v>
                </c:pt>
                <c:pt idx="61">
                  <c:v>514</c:v>
                </c:pt>
                <c:pt idx="62">
                  <c:v>519</c:v>
                </c:pt>
                <c:pt idx="63">
                  <c:v>524</c:v>
                </c:pt>
                <c:pt idx="64">
                  <c:v>528</c:v>
                </c:pt>
                <c:pt idx="65">
                  <c:v>533</c:v>
                </c:pt>
                <c:pt idx="66">
                  <c:v>537</c:v>
                </c:pt>
                <c:pt idx="67">
                  <c:v>542</c:v>
                </c:pt>
                <c:pt idx="68">
                  <c:v>546</c:v>
                </c:pt>
                <c:pt idx="69">
                  <c:v>551</c:v>
                </c:pt>
                <c:pt idx="70">
                  <c:v>556</c:v>
                </c:pt>
                <c:pt idx="71">
                  <c:v>560</c:v>
                </c:pt>
                <c:pt idx="72">
                  <c:v>565</c:v>
                </c:pt>
                <c:pt idx="73">
                  <c:v>569</c:v>
                </c:pt>
                <c:pt idx="74">
                  <c:v>574</c:v>
                </c:pt>
                <c:pt idx="75">
                  <c:v>578</c:v>
                </c:pt>
                <c:pt idx="76">
                  <c:v>583</c:v>
                </c:pt>
                <c:pt idx="77">
                  <c:v>588</c:v>
                </c:pt>
                <c:pt idx="78">
                  <c:v>593</c:v>
                </c:pt>
                <c:pt idx="79">
                  <c:v>598</c:v>
                </c:pt>
                <c:pt idx="80">
                  <c:v>604</c:v>
                </c:pt>
                <c:pt idx="81">
                  <c:v>610</c:v>
                </c:pt>
                <c:pt idx="82">
                  <c:v>616</c:v>
                </c:pt>
                <c:pt idx="83">
                  <c:v>623</c:v>
                </c:pt>
                <c:pt idx="84">
                  <c:v>630</c:v>
                </c:pt>
                <c:pt idx="85">
                  <c:v>637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D5-4157-BD24-86DC567F307C}"/>
            </c:ext>
          </c:extLst>
        </c:ser>
        <c:ser>
          <c:idx val="3"/>
          <c:order val="3"/>
          <c:tx>
            <c:v>Mainlab Day 9</c:v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'MEBU HPS LTO DAILY Graph'!$D$123:$D$223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Graph'!$T$123:$T$214</c:f>
              <c:numCache>
                <c:formatCode>General</c:formatCode>
                <c:ptCount val="92"/>
                <c:pt idx="0">
                  <c:v>83.48</c:v>
                </c:pt>
                <c:pt idx="1">
                  <c:v>100.6</c:v>
                </c:pt>
                <c:pt idx="2">
                  <c:v>139.77000000000001</c:v>
                </c:pt>
                <c:pt idx="3">
                  <c:v>163.13</c:v>
                </c:pt>
                <c:pt idx="4">
                  <c:v>181.27</c:v>
                </c:pt>
                <c:pt idx="5">
                  <c:v>197.13</c:v>
                </c:pt>
                <c:pt idx="6">
                  <c:v>209.1</c:v>
                </c:pt>
                <c:pt idx="7">
                  <c:v>220.51</c:v>
                </c:pt>
                <c:pt idx="8">
                  <c:v>231.51</c:v>
                </c:pt>
                <c:pt idx="9">
                  <c:v>241.52</c:v>
                </c:pt>
                <c:pt idx="10">
                  <c:v>251.17</c:v>
                </c:pt>
                <c:pt idx="11">
                  <c:v>259.89</c:v>
                </c:pt>
                <c:pt idx="12">
                  <c:v>268.35000000000002</c:v>
                </c:pt>
                <c:pt idx="13">
                  <c:v>276.24</c:v>
                </c:pt>
                <c:pt idx="14">
                  <c:v>283.89999999999998</c:v>
                </c:pt>
                <c:pt idx="15">
                  <c:v>291.12</c:v>
                </c:pt>
                <c:pt idx="16">
                  <c:v>297.76</c:v>
                </c:pt>
                <c:pt idx="17">
                  <c:v>303.61</c:v>
                </c:pt>
                <c:pt idx="18">
                  <c:v>310.04000000000002</c:v>
                </c:pt>
                <c:pt idx="19">
                  <c:v>315.44</c:v>
                </c:pt>
                <c:pt idx="20">
                  <c:v>321.87</c:v>
                </c:pt>
                <c:pt idx="21">
                  <c:v>327.81</c:v>
                </c:pt>
                <c:pt idx="22">
                  <c:v>333.46</c:v>
                </c:pt>
                <c:pt idx="23">
                  <c:v>339.14</c:v>
                </c:pt>
                <c:pt idx="24">
                  <c:v>344.22</c:v>
                </c:pt>
                <c:pt idx="25">
                  <c:v>349.56</c:v>
                </c:pt>
                <c:pt idx="26">
                  <c:v>354.49</c:v>
                </c:pt>
                <c:pt idx="27">
                  <c:v>359.6</c:v>
                </c:pt>
                <c:pt idx="28">
                  <c:v>364.4</c:v>
                </c:pt>
                <c:pt idx="29">
                  <c:v>369.17</c:v>
                </c:pt>
                <c:pt idx="30">
                  <c:v>374.13</c:v>
                </c:pt>
                <c:pt idx="31">
                  <c:v>378.64</c:v>
                </c:pt>
                <c:pt idx="32">
                  <c:v>383.65</c:v>
                </c:pt>
                <c:pt idx="33">
                  <c:v>388.38</c:v>
                </c:pt>
                <c:pt idx="34">
                  <c:v>393.05</c:v>
                </c:pt>
                <c:pt idx="35">
                  <c:v>397.79</c:v>
                </c:pt>
                <c:pt idx="36">
                  <c:v>402.15</c:v>
                </c:pt>
                <c:pt idx="37">
                  <c:v>406.93</c:v>
                </c:pt>
                <c:pt idx="38">
                  <c:v>411.43</c:v>
                </c:pt>
                <c:pt idx="39">
                  <c:v>416.14</c:v>
                </c:pt>
                <c:pt idx="40">
                  <c:v>420.71</c:v>
                </c:pt>
                <c:pt idx="41">
                  <c:v>425.46</c:v>
                </c:pt>
                <c:pt idx="42">
                  <c:v>430.11</c:v>
                </c:pt>
                <c:pt idx="43">
                  <c:v>434.98</c:v>
                </c:pt>
                <c:pt idx="44">
                  <c:v>439.59</c:v>
                </c:pt>
                <c:pt idx="45">
                  <c:v>444.42</c:v>
                </c:pt>
                <c:pt idx="46">
                  <c:v>449.03</c:v>
                </c:pt>
                <c:pt idx="47">
                  <c:v>453.93</c:v>
                </c:pt>
                <c:pt idx="48">
                  <c:v>458.7</c:v>
                </c:pt>
                <c:pt idx="49">
                  <c:v>463.4</c:v>
                </c:pt>
                <c:pt idx="50">
                  <c:v>468.21</c:v>
                </c:pt>
                <c:pt idx="51">
                  <c:v>472.76</c:v>
                </c:pt>
                <c:pt idx="52">
                  <c:v>477.51</c:v>
                </c:pt>
                <c:pt idx="53">
                  <c:v>482.18</c:v>
                </c:pt>
                <c:pt idx="54">
                  <c:v>486.88</c:v>
                </c:pt>
                <c:pt idx="55">
                  <c:v>491.66</c:v>
                </c:pt>
                <c:pt idx="56">
                  <c:v>496.35</c:v>
                </c:pt>
                <c:pt idx="57">
                  <c:v>500.92</c:v>
                </c:pt>
                <c:pt idx="58">
                  <c:v>505.5</c:v>
                </c:pt>
                <c:pt idx="59">
                  <c:v>510.06</c:v>
                </c:pt>
                <c:pt idx="60">
                  <c:v>514.64</c:v>
                </c:pt>
                <c:pt idx="61">
                  <c:v>519.26</c:v>
                </c:pt>
                <c:pt idx="62">
                  <c:v>523.82000000000005</c:v>
                </c:pt>
                <c:pt idx="63">
                  <c:v>528.27</c:v>
                </c:pt>
                <c:pt idx="64">
                  <c:v>532.73</c:v>
                </c:pt>
                <c:pt idx="65">
                  <c:v>537.22</c:v>
                </c:pt>
                <c:pt idx="66">
                  <c:v>541.70000000000005</c:v>
                </c:pt>
                <c:pt idx="67">
                  <c:v>546.17999999999995</c:v>
                </c:pt>
                <c:pt idx="68">
                  <c:v>550.70000000000005</c:v>
                </c:pt>
                <c:pt idx="69">
                  <c:v>555.23</c:v>
                </c:pt>
                <c:pt idx="70">
                  <c:v>559.54</c:v>
                </c:pt>
                <c:pt idx="71">
                  <c:v>563.86</c:v>
                </c:pt>
                <c:pt idx="72">
                  <c:v>568.25</c:v>
                </c:pt>
                <c:pt idx="73">
                  <c:v>572.75</c:v>
                </c:pt>
                <c:pt idx="74">
                  <c:v>577.42999999999995</c:v>
                </c:pt>
                <c:pt idx="75">
                  <c:v>582.30999999999995</c:v>
                </c:pt>
                <c:pt idx="76">
                  <c:v>587.16</c:v>
                </c:pt>
                <c:pt idx="77">
                  <c:v>592.15</c:v>
                </c:pt>
                <c:pt idx="78">
                  <c:v>597.35</c:v>
                </c:pt>
                <c:pt idx="79">
                  <c:v>602.91</c:v>
                </c:pt>
                <c:pt idx="80">
                  <c:v>608.82000000000005</c:v>
                </c:pt>
                <c:pt idx="81">
                  <c:v>615.03</c:v>
                </c:pt>
                <c:pt idx="82">
                  <c:v>621.47</c:v>
                </c:pt>
                <c:pt idx="83">
                  <c:v>628.36</c:v>
                </c:pt>
                <c:pt idx="84">
                  <c:v>635.72</c:v>
                </c:pt>
                <c:pt idx="85">
                  <c:v>643.51</c:v>
                </c:pt>
                <c:pt idx="86">
                  <c:v>652.11</c:v>
                </c:pt>
                <c:pt idx="87">
                  <c:v>661.56</c:v>
                </c:pt>
                <c:pt idx="88">
                  <c:v>672.22</c:v>
                </c:pt>
                <c:pt idx="89">
                  <c:v>684.42</c:v>
                </c:pt>
                <c:pt idx="90">
                  <c:v>697.29</c:v>
                </c:pt>
                <c:pt idx="91">
                  <c:v>710.49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D5-4157-BD24-86DC567F307C}"/>
            </c:ext>
          </c:extLst>
        </c:ser>
        <c:ser>
          <c:idx val="4"/>
          <c:order val="4"/>
          <c:tx>
            <c:v>Pilot Day 10</c:v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'MEBU HPS LTO DAILY Graph'!$D$123:$D$223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Graph'!$U$123:$U$218</c:f>
              <c:numCache>
                <c:formatCode>General</c:formatCode>
                <c:ptCount val="96"/>
                <c:pt idx="0">
                  <c:v>99</c:v>
                </c:pt>
                <c:pt idx="1">
                  <c:v>122</c:v>
                </c:pt>
                <c:pt idx="2">
                  <c:v>149</c:v>
                </c:pt>
                <c:pt idx="3">
                  <c:v>165</c:v>
                </c:pt>
                <c:pt idx="4">
                  <c:v>179</c:v>
                </c:pt>
                <c:pt idx="5">
                  <c:v>193</c:v>
                </c:pt>
                <c:pt idx="6">
                  <c:v>203</c:v>
                </c:pt>
                <c:pt idx="7">
                  <c:v>214</c:v>
                </c:pt>
                <c:pt idx="8">
                  <c:v>223</c:v>
                </c:pt>
                <c:pt idx="9">
                  <c:v>233</c:v>
                </c:pt>
                <c:pt idx="10">
                  <c:v>241</c:v>
                </c:pt>
                <c:pt idx="11">
                  <c:v>250</c:v>
                </c:pt>
                <c:pt idx="12">
                  <c:v>257</c:v>
                </c:pt>
                <c:pt idx="13">
                  <c:v>265</c:v>
                </c:pt>
                <c:pt idx="14">
                  <c:v>272</c:v>
                </c:pt>
                <c:pt idx="15">
                  <c:v>280</c:v>
                </c:pt>
                <c:pt idx="16">
                  <c:v>287</c:v>
                </c:pt>
                <c:pt idx="17">
                  <c:v>293</c:v>
                </c:pt>
                <c:pt idx="18">
                  <c:v>300</c:v>
                </c:pt>
                <c:pt idx="19">
                  <c:v>306</c:v>
                </c:pt>
                <c:pt idx="20">
                  <c:v>312</c:v>
                </c:pt>
                <c:pt idx="21">
                  <c:v>317</c:v>
                </c:pt>
                <c:pt idx="22">
                  <c:v>323</c:v>
                </c:pt>
                <c:pt idx="23">
                  <c:v>328</c:v>
                </c:pt>
                <c:pt idx="24">
                  <c:v>334</c:v>
                </c:pt>
                <c:pt idx="25">
                  <c:v>339</c:v>
                </c:pt>
                <c:pt idx="26">
                  <c:v>344</c:v>
                </c:pt>
                <c:pt idx="27">
                  <c:v>349</c:v>
                </c:pt>
                <c:pt idx="28">
                  <c:v>354</c:v>
                </c:pt>
                <c:pt idx="29">
                  <c:v>359</c:v>
                </c:pt>
                <c:pt idx="30">
                  <c:v>364</c:v>
                </c:pt>
                <c:pt idx="31">
                  <c:v>368</c:v>
                </c:pt>
                <c:pt idx="32">
                  <c:v>373</c:v>
                </c:pt>
                <c:pt idx="33">
                  <c:v>378</c:v>
                </c:pt>
                <c:pt idx="34">
                  <c:v>382</c:v>
                </c:pt>
                <c:pt idx="35">
                  <c:v>387</c:v>
                </c:pt>
                <c:pt idx="36">
                  <c:v>391</c:v>
                </c:pt>
                <c:pt idx="37">
                  <c:v>396</c:v>
                </c:pt>
                <c:pt idx="38">
                  <c:v>400</c:v>
                </c:pt>
                <c:pt idx="39">
                  <c:v>405</c:v>
                </c:pt>
                <c:pt idx="40">
                  <c:v>409</c:v>
                </c:pt>
                <c:pt idx="41">
                  <c:v>414</c:v>
                </c:pt>
                <c:pt idx="42">
                  <c:v>418</c:v>
                </c:pt>
                <c:pt idx="43">
                  <c:v>422</c:v>
                </c:pt>
                <c:pt idx="44">
                  <c:v>427</c:v>
                </c:pt>
                <c:pt idx="45">
                  <c:v>431</c:v>
                </c:pt>
                <c:pt idx="46">
                  <c:v>436</c:v>
                </c:pt>
                <c:pt idx="47">
                  <c:v>440</c:v>
                </c:pt>
                <c:pt idx="48">
                  <c:v>445</c:v>
                </c:pt>
                <c:pt idx="49">
                  <c:v>449</c:v>
                </c:pt>
                <c:pt idx="50">
                  <c:v>453</c:v>
                </c:pt>
                <c:pt idx="51">
                  <c:v>458</c:v>
                </c:pt>
                <c:pt idx="52">
                  <c:v>462</c:v>
                </c:pt>
                <c:pt idx="53">
                  <c:v>467</c:v>
                </c:pt>
                <c:pt idx="54">
                  <c:v>471</c:v>
                </c:pt>
                <c:pt idx="55">
                  <c:v>476</c:v>
                </c:pt>
                <c:pt idx="56">
                  <c:v>481</c:v>
                </c:pt>
                <c:pt idx="57">
                  <c:v>485</c:v>
                </c:pt>
                <c:pt idx="58">
                  <c:v>490</c:v>
                </c:pt>
                <c:pt idx="59">
                  <c:v>495</c:v>
                </c:pt>
                <c:pt idx="60">
                  <c:v>499</c:v>
                </c:pt>
                <c:pt idx="61">
                  <c:v>503</c:v>
                </c:pt>
                <c:pt idx="62">
                  <c:v>508</c:v>
                </c:pt>
                <c:pt idx="63">
                  <c:v>512</c:v>
                </c:pt>
                <c:pt idx="64">
                  <c:v>517</c:v>
                </c:pt>
                <c:pt idx="65">
                  <c:v>522</c:v>
                </c:pt>
                <c:pt idx="66">
                  <c:v>526</c:v>
                </c:pt>
                <c:pt idx="67">
                  <c:v>531</c:v>
                </c:pt>
                <c:pt idx="68">
                  <c:v>535</c:v>
                </c:pt>
                <c:pt idx="69">
                  <c:v>539</c:v>
                </c:pt>
                <c:pt idx="70">
                  <c:v>544</c:v>
                </c:pt>
                <c:pt idx="71">
                  <c:v>548</c:v>
                </c:pt>
                <c:pt idx="72">
                  <c:v>553</c:v>
                </c:pt>
                <c:pt idx="73">
                  <c:v>557</c:v>
                </c:pt>
                <c:pt idx="74">
                  <c:v>562</c:v>
                </c:pt>
                <c:pt idx="75">
                  <c:v>566</c:v>
                </c:pt>
                <c:pt idx="76">
                  <c:v>571</c:v>
                </c:pt>
                <c:pt idx="77">
                  <c:v>575</c:v>
                </c:pt>
                <c:pt idx="78">
                  <c:v>580</c:v>
                </c:pt>
                <c:pt idx="79">
                  <c:v>584</c:v>
                </c:pt>
                <c:pt idx="80">
                  <c:v>589</c:v>
                </c:pt>
                <c:pt idx="81">
                  <c:v>594</c:v>
                </c:pt>
                <c:pt idx="82">
                  <c:v>599</c:v>
                </c:pt>
                <c:pt idx="83">
                  <c:v>605</c:v>
                </c:pt>
                <c:pt idx="84">
                  <c:v>611</c:v>
                </c:pt>
                <c:pt idx="85">
                  <c:v>617</c:v>
                </c:pt>
                <c:pt idx="86">
                  <c:v>624</c:v>
                </c:pt>
                <c:pt idx="87">
                  <c:v>630</c:v>
                </c:pt>
                <c:pt idx="88">
                  <c:v>637</c:v>
                </c:pt>
                <c:pt idx="89">
                  <c:v>645</c:v>
                </c:pt>
                <c:pt idx="90">
                  <c:v>654</c:v>
                </c:pt>
                <c:pt idx="91">
                  <c:v>663</c:v>
                </c:pt>
                <c:pt idx="92">
                  <c:v>674</c:v>
                </c:pt>
                <c:pt idx="93">
                  <c:v>687</c:v>
                </c:pt>
                <c:pt idx="94">
                  <c:v>700</c:v>
                </c:pt>
                <c:pt idx="95">
                  <c:v>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99-41CE-9F2A-CB8FE26957A3}"/>
            </c:ext>
          </c:extLst>
        </c:ser>
        <c:ser>
          <c:idx val="5"/>
          <c:order val="5"/>
          <c:tx>
            <c:v>Mainlab Day 10</c:v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'MEBU HPS LTO DAILY Graph'!$D$123:$D$223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'MEBU HPS LTO DAILY Graph'!$V$123:$V$217</c:f>
              <c:numCache>
                <c:formatCode>General</c:formatCode>
                <c:ptCount val="95"/>
                <c:pt idx="0">
                  <c:v>83.78</c:v>
                </c:pt>
                <c:pt idx="1">
                  <c:v>103.64</c:v>
                </c:pt>
                <c:pt idx="2">
                  <c:v>139.93</c:v>
                </c:pt>
                <c:pt idx="3">
                  <c:v>163</c:v>
                </c:pt>
                <c:pt idx="4">
                  <c:v>180.54</c:v>
                </c:pt>
                <c:pt idx="5">
                  <c:v>195.45</c:v>
                </c:pt>
                <c:pt idx="6">
                  <c:v>208.08</c:v>
                </c:pt>
                <c:pt idx="7">
                  <c:v>219.63</c:v>
                </c:pt>
                <c:pt idx="8">
                  <c:v>230.41</c:v>
                </c:pt>
                <c:pt idx="9">
                  <c:v>239.97</c:v>
                </c:pt>
                <c:pt idx="10">
                  <c:v>249.92</c:v>
                </c:pt>
                <c:pt idx="11">
                  <c:v>258.45</c:v>
                </c:pt>
                <c:pt idx="12">
                  <c:v>267.05</c:v>
                </c:pt>
                <c:pt idx="13">
                  <c:v>274.61</c:v>
                </c:pt>
                <c:pt idx="14">
                  <c:v>282.22000000000003</c:v>
                </c:pt>
                <c:pt idx="15">
                  <c:v>289.24</c:v>
                </c:pt>
                <c:pt idx="16">
                  <c:v>295.83999999999997</c:v>
                </c:pt>
                <c:pt idx="17">
                  <c:v>301.66000000000003</c:v>
                </c:pt>
                <c:pt idx="18">
                  <c:v>308.17</c:v>
                </c:pt>
                <c:pt idx="19">
                  <c:v>314</c:v>
                </c:pt>
                <c:pt idx="20">
                  <c:v>319.86</c:v>
                </c:pt>
                <c:pt idx="21">
                  <c:v>325.86</c:v>
                </c:pt>
                <c:pt idx="22">
                  <c:v>330.99</c:v>
                </c:pt>
                <c:pt idx="23">
                  <c:v>336.7</c:v>
                </c:pt>
                <c:pt idx="24">
                  <c:v>341.89</c:v>
                </c:pt>
                <c:pt idx="25">
                  <c:v>347</c:v>
                </c:pt>
                <c:pt idx="26">
                  <c:v>352.13</c:v>
                </c:pt>
                <c:pt idx="27">
                  <c:v>356.65</c:v>
                </c:pt>
                <c:pt idx="28">
                  <c:v>361.5</c:v>
                </c:pt>
                <c:pt idx="29">
                  <c:v>366.16</c:v>
                </c:pt>
                <c:pt idx="30">
                  <c:v>370.94</c:v>
                </c:pt>
                <c:pt idx="31">
                  <c:v>375.65</c:v>
                </c:pt>
                <c:pt idx="32">
                  <c:v>379.96</c:v>
                </c:pt>
                <c:pt idx="33">
                  <c:v>384.79</c:v>
                </c:pt>
                <c:pt idx="34">
                  <c:v>389.18</c:v>
                </c:pt>
                <c:pt idx="35">
                  <c:v>393.79</c:v>
                </c:pt>
                <c:pt idx="36">
                  <c:v>398.29</c:v>
                </c:pt>
                <c:pt idx="37">
                  <c:v>402.54</c:v>
                </c:pt>
                <c:pt idx="38">
                  <c:v>407.13</c:v>
                </c:pt>
                <c:pt idx="39">
                  <c:v>411.43</c:v>
                </c:pt>
                <c:pt idx="40">
                  <c:v>415.96</c:v>
                </c:pt>
                <c:pt idx="41">
                  <c:v>420.34</c:v>
                </c:pt>
                <c:pt idx="42">
                  <c:v>424.92</c:v>
                </c:pt>
                <c:pt idx="43">
                  <c:v>429.33</c:v>
                </c:pt>
                <c:pt idx="44">
                  <c:v>433.95</c:v>
                </c:pt>
                <c:pt idx="45">
                  <c:v>438.38</c:v>
                </c:pt>
                <c:pt idx="46">
                  <c:v>443.01</c:v>
                </c:pt>
                <c:pt idx="47">
                  <c:v>447.45</c:v>
                </c:pt>
                <c:pt idx="48">
                  <c:v>452.07</c:v>
                </c:pt>
                <c:pt idx="49">
                  <c:v>456.67</c:v>
                </c:pt>
                <c:pt idx="50">
                  <c:v>461.24</c:v>
                </c:pt>
                <c:pt idx="51">
                  <c:v>465.85</c:v>
                </c:pt>
                <c:pt idx="52">
                  <c:v>470.41</c:v>
                </c:pt>
                <c:pt idx="53">
                  <c:v>474.81</c:v>
                </c:pt>
                <c:pt idx="54">
                  <c:v>479.36</c:v>
                </c:pt>
                <c:pt idx="55">
                  <c:v>483.82</c:v>
                </c:pt>
                <c:pt idx="56">
                  <c:v>488.45</c:v>
                </c:pt>
                <c:pt idx="57">
                  <c:v>493.06</c:v>
                </c:pt>
                <c:pt idx="58">
                  <c:v>497.59</c:v>
                </c:pt>
                <c:pt idx="59">
                  <c:v>501.99</c:v>
                </c:pt>
                <c:pt idx="60">
                  <c:v>506.44</c:v>
                </c:pt>
                <c:pt idx="61">
                  <c:v>510.89</c:v>
                </c:pt>
                <c:pt idx="62">
                  <c:v>515.32000000000005</c:v>
                </c:pt>
                <c:pt idx="63">
                  <c:v>519.79</c:v>
                </c:pt>
                <c:pt idx="64">
                  <c:v>524.22</c:v>
                </c:pt>
                <c:pt idx="65">
                  <c:v>528.55999999999995</c:v>
                </c:pt>
                <c:pt idx="66">
                  <c:v>532.89</c:v>
                </c:pt>
                <c:pt idx="67">
                  <c:v>537.25</c:v>
                </c:pt>
                <c:pt idx="68">
                  <c:v>541.62</c:v>
                </c:pt>
                <c:pt idx="69">
                  <c:v>545.98</c:v>
                </c:pt>
                <c:pt idx="70">
                  <c:v>550.36</c:v>
                </c:pt>
                <c:pt idx="71">
                  <c:v>554.78</c:v>
                </c:pt>
                <c:pt idx="72">
                  <c:v>558.99</c:v>
                </c:pt>
                <c:pt idx="73">
                  <c:v>563.20000000000005</c:v>
                </c:pt>
                <c:pt idx="74">
                  <c:v>567.47</c:v>
                </c:pt>
                <c:pt idx="75">
                  <c:v>571.82000000000005</c:v>
                </c:pt>
                <c:pt idx="76">
                  <c:v>576.33000000000004</c:v>
                </c:pt>
                <c:pt idx="77">
                  <c:v>581.04</c:v>
                </c:pt>
                <c:pt idx="78">
                  <c:v>585.79</c:v>
                </c:pt>
                <c:pt idx="79">
                  <c:v>590.59</c:v>
                </c:pt>
                <c:pt idx="80">
                  <c:v>595.58000000000004</c:v>
                </c:pt>
                <c:pt idx="81">
                  <c:v>600.83000000000004</c:v>
                </c:pt>
                <c:pt idx="82">
                  <c:v>606.48</c:v>
                </c:pt>
                <c:pt idx="83">
                  <c:v>612.41</c:v>
                </c:pt>
                <c:pt idx="84">
                  <c:v>618.54999999999995</c:v>
                </c:pt>
                <c:pt idx="85">
                  <c:v>625</c:v>
                </c:pt>
                <c:pt idx="86">
                  <c:v>631.9</c:v>
                </c:pt>
                <c:pt idx="87">
                  <c:v>639.17999999999995</c:v>
                </c:pt>
                <c:pt idx="88">
                  <c:v>646.99</c:v>
                </c:pt>
                <c:pt idx="89">
                  <c:v>655.66</c:v>
                </c:pt>
                <c:pt idx="90">
                  <c:v>665.07</c:v>
                </c:pt>
                <c:pt idx="91">
                  <c:v>675.78</c:v>
                </c:pt>
                <c:pt idx="92">
                  <c:v>687.91</c:v>
                </c:pt>
                <c:pt idx="93">
                  <c:v>700.22</c:v>
                </c:pt>
                <c:pt idx="94">
                  <c:v>713.04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99-41CE-9F2A-CB8FE2695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752383"/>
        <c:axId val="693820943"/>
      </c:scatterChart>
      <c:valAx>
        <c:axId val="693752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820943"/>
        <c:crosses val="autoZero"/>
        <c:crossBetween val="midCat"/>
      </c:valAx>
      <c:valAx>
        <c:axId val="69382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deg.C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52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BOILING POINT DISTRIBUTION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ISV!$P$11</c:f>
              <c:strCache>
                <c:ptCount val="1"/>
                <c:pt idx="0">
                  <c:v>ISV1+HPS+RX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ISV!$N$12:$N$112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ISV!$P$12:$P$112</c:f>
              <c:numCache>
                <c:formatCode>General</c:formatCode>
                <c:ptCount val="101"/>
                <c:pt idx="0">
                  <c:v>98.16</c:v>
                </c:pt>
                <c:pt idx="1">
                  <c:v>135.27000000000001</c:v>
                </c:pt>
                <c:pt idx="2">
                  <c:v>171.91</c:v>
                </c:pt>
                <c:pt idx="3">
                  <c:v>199.61</c:v>
                </c:pt>
                <c:pt idx="4">
                  <c:v>222.95</c:v>
                </c:pt>
                <c:pt idx="5">
                  <c:v>243.6</c:v>
                </c:pt>
                <c:pt idx="6">
                  <c:v>261.60000000000002</c:v>
                </c:pt>
                <c:pt idx="7">
                  <c:v>277.99</c:v>
                </c:pt>
                <c:pt idx="8">
                  <c:v>293.27</c:v>
                </c:pt>
                <c:pt idx="9">
                  <c:v>306.77999999999997</c:v>
                </c:pt>
                <c:pt idx="10">
                  <c:v>319.3</c:v>
                </c:pt>
                <c:pt idx="11">
                  <c:v>331.31</c:v>
                </c:pt>
                <c:pt idx="12">
                  <c:v>342.52</c:v>
                </c:pt>
                <c:pt idx="13">
                  <c:v>353.26</c:v>
                </c:pt>
                <c:pt idx="14">
                  <c:v>362.67</c:v>
                </c:pt>
                <c:pt idx="15">
                  <c:v>372.04</c:v>
                </c:pt>
                <c:pt idx="16">
                  <c:v>380.63</c:v>
                </c:pt>
                <c:pt idx="17">
                  <c:v>389.14</c:v>
                </c:pt>
                <c:pt idx="18">
                  <c:v>397.36</c:v>
                </c:pt>
                <c:pt idx="19">
                  <c:v>405.09</c:v>
                </c:pt>
                <c:pt idx="20">
                  <c:v>412.74</c:v>
                </c:pt>
                <c:pt idx="21">
                  <c:v>420.29</c:v>
                </c:pt>
                <c:pt idx="22">
                  <c:v>427.78</c:v>
                </c:pt>
                <c:pt idx="23">
                  <c:v>435.28</c:v>
                </c:pt>
                <c:pt idx="24">
                  <c:v>442.62</c:v>
                </c:pt>
                <c:pt idx="25">
                  <c:v>449.81</c:v>
                </c:pt>
                <c:pt idx="26">
                  <c:v>457.02</c:v>
                </c:pt>
                <c:pt idx="27">
                  <c:v>464.02</c:v>
                </c:pt>
                <c:pt idx="28">
                  <c:v>470.82</c:v>
                </c:pt>
                <c:pt idx="29">
                  <c:v>477.38</c:v>
                </c:pt>
                <c:pt idx="30">
                  <c:v>483.79</c:v>
                </c:pt>
                <c:pt idx="31">
                  <c:v>490.05</c:v>
                </c:pt>
                <c:pt idx="32">
                  <c:v>496.14</c:v>
                </c:pt>
                <c:pt idx="33">
                  <c:v>501.8</c:v>
                </c:pt>
                <c:pt idx="34">
                  <c:v>507.25</c:v>
                </c:pt>
                <c:pt idx="35">
                  <c:v>512.49</c:v>
                </c:pt>
                <c:pt idx="36">
                  <c:v>517.47</c:v>
                </c:pt>
                <c:pt idx="37">
                  <c:v>522.23</c:v>
                </c:pt>
                <c:pt idx="38">
                  <c:v>526.71</c:v>
                </c:pt>
                <c:pt idx="39">
                  <c:v>531.04</c:v>
                </c:pt>
                <c:pt idx="40">
                  <c:v>535.23</c:v>
                </c:pt>
                <c:pt idx="41">
                  <c:v>539.27</c:v>
                </c:pt>
                <c:pt idx="42">
                  <c:v>543.17999999999995</c:v>
                </c:pt>
                <c:pt idx="43">
                  <c:v>547.01</c:v>
                </c:pt>
                <c:pt idx="44">
                  <c:v>550.72</c:v>
                </c:pt>
                <c:pt idx="45">
                  <c:v>554.35</c:v>
                </c:pt>
                <c:pt idx="46">
                  <c:v>557.78</c:v>
                </c:pt>
                <c:pt idx="47">
                  <c:v>561.05999999999995</c:v>
                </c:pt>
                <c:pt idx="48">
                  <c:v>564.28</c:v>
                </c:pt>
                <c:pt idx="49">
                  <c:v>567.48</c:v>
                </c:pt>
                <c:pt idx="50">
                  <c:v>570.66999999999996</c:v>
                </c:pt>
                <c:pt idx="51">
                  <c:v>573.83000000000004</c:v>
                </c:pt>
                <c:pt idx="52">
                  <c:v>577.04999999999995</c:v>
                </c:pt>
                <c:pt idx="53">
                  <c:v>580.30999999999995</c:v>
                </c:pt>
                <c:pt idx="54">
                  <c:v>583.6</c:v>
                </c:pt>
                <c:pt idx="55">
                  <c:v>586.75</c:v>
                </c:pt>
                <c:pt idx="56">
                  <c:v>589.91999999999996</c:v>
                </c:pt>
                <c:pt idx="57">
                  <c:v>593.14</c:v>
                </c:pt>
                <c:pt idx="58">
                  <c:v>596.41</c:v>
                </c:pt>
                <c:pt idx="59">
                  <c:v>599.74</c:v>
                </c:pt>
                <c:pt idx="60">
                  <c:v>603.20000000000005</c:v>
                </c:pt>
                <c:pt idx="61">
                  <c:v>606.74</c:v>
                </c:pt>
                <c:pt idx="62">
                  <c:v>610.36</c:v>
                </c:pt>
                <c:pt idx="63">
                  <c:v>614.05999999999995</c:v>
                </c:pt>
                <c:pt idx="64">
                  <c:v>617.76</c:v>
                </c:pt>
                <c:pt idx="65">
                  <c:v>621.53</c:v>
                </c:pt>
                <c:pt idx="66">
                  <c:v>625.39</c:v>
                </c:pt>
                <c:pt idx="67">
                  <c:v>629.35</c:v>
                </c:pt>
                <c:pt idx="68">
                  <c:v>633.4</c:v>
                </c:pt>
                <c:pt idx="69">
                  <c:v>637.54999999999995</c:v>
                </c:pt>
                <c:pt idx="70">
                  <c:v>641.77</c:v>
                </c:pt>
                <c:pt idx="71">
                  <c:v>646.12</c:v>
                </c:pt>
                <c:pt idx="72">
                  <c:v>650.67999999999995</c:v>
                </c:pt>
                <c:pt idx="73">
                  <c:v>655.39</c:v>
                </c:pt>
                <c:pt idx="74">
                  <c:v>660.22</c:v>
                </c:pt>
                <c:pt idx="75">
                  <c:v>665.26</c:v>
                </c:pt>
                <c:pt idx="76">
                  <c:v>670.8</c:v>
                </c:pt>
                <c:pt idx="77">
                  <c:v>676.13</c:v>
                </c:pt>
                <c:pt idx="78">
                  <c:v>681.96</c:v>
                </c:pt>
                <c:pt idx="79">
                  <c:v>687.95</c:v>
                </c:pt>
                <c:pt idx="80">
                  <c:v>693.72</c:v>
                </c:pt>
                <c:pt idx="81">
                  <c:v>699.3</c:v>
                </c:pt>
                <c:pt idx="82">
                  <c:v>704.76</c:v>
                </c:pt>
                <c:pt idx="83">
                  <c:v>710.32</c:v>
                </c:pt>
                <c:pt idx="84">
                  <c:v>716.3</c:v>
                </c:pt>
                <c:pt idx="85">
                  <c:v>722.23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D2-4677-852C-F5E40AB05DFB}"/>
            </c:ext>
          </c:extLst>
        </c:ser>
        <c:ser>
          <c:idx val="1"/>
          <c:order val="1"/>
          <c:tx>
            <c:strRef>
              <c:f>ISV!$O$11</c:f>
              <c:strCache>
                <c:ptCount val="1"/>
                <c:pt idx="0">
                  <c:v>ISV1</c:v>
                </c:pt>
              </c:strCache>
            </c:strRef>
          </c:tx>
          <c:spPr>
            <a:ln w="9525" cap="flat" cmpd="sng" algn="ctr">
              <a:solidFill>
                <a:schemeClr val="accent2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ISV!$N$12:$N$112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ISV!$O$12:$O$88</c:f>
              <c:numCache>
                <c:formatCode>General</c:formatCode>
                <c:ptCount val="77"/>
                <c:pt idx="0">
                  <c:v>165.07</c:v>
                </c:pt>
                <c:pt idx="1">
                  <c:v>193.11</c:v>
                </c:pt>
                <c:pt idx="2">
                  <c:v>249.62</c:v>
                </c:pt>
                <c:pt idx="3">
                  <c:v>285.27</c:v>
                </c:pt>
                <c:pt idx="4">
                  <c:v>312.19</c:v>
                </c:pt>
                <c:pt idx="5">
                  <c:v>332.77</c:v>
                </c:pt>
                <c:pt idx="6">
                  <c:v>349.13</c:v>
                </c:pt>
                <c:pt idx="7">
                  <c:v>361.65</c:v>
                </c:pt>
                <c:pt idx="8">
                  <c:v>372.05</c:v>
                </c:pt>
                <c:pt idx="9">
                  <c:v>380.52</c:v>
                </c:pt>
                <c:pt idx="10">
                  <c:v>388.41</c:v>
                </c:pt>
                <c:pt idx="11">
                  <c:v>395.16</c:v>
                </c:pt>
                <c:pt idx="12">
                  <c:v>401.24</c:v>
                </c:pt>
                <c:pt idx="13">
                  <c:v>407.47</c:v>
                </c:pt>
                <c:pt idx="14">
                  <c:v>412.88</c:v>
                </c:pt>
                <c:pt idx="15">
                  <c:v>418.47</c:v>
                </c:pt>
                <c:pt idx="16">
                  <c:v>423.55</c:v>
                </c:pt>
                <c:pt idx="17">
                  <c:v>428.62</c:v>
                </c:pt>
                <c:pt idx="18">
                  <c:v>433.72</c:v>
                </c:pt>
                <c:pt idx="19">
                  <c:v>438.58</c:v>
                </c:pt>
                <c:pt idx="20">
                  <c:v>443.68</c:v>
                </c:pt>
                <c:pt idx="21">
                  <c:v>448.44</c:v>
                </c:pt>
                <c:pt idx="22">
                  <c:v>453.69</c:v>
                </c:pt>
                <c:pt idx="23">
                  <c:v>458.6</c:v>
                </c:pt>
                <c:pt idx="24">
                  <c:v>463.69</c:v>
                </c:pt>
                <c:pt idx="25">
                  <c:v>468.87</c:v>
                </c:pt>
                <c:pt idx="26">
                  <c:v>473.86</c:v>
                </c:pt>
                <c:pt idx="27">
                  <c:v>479.08</c:v>
                </c:pt>
                <c:pt idx="28">
                  <c:v>484.39</c:v>
                </c:pt>
                <c:pt idx="29">
                  <c:v>489.68</c:v>
                </c:pt>
                <c:pt idx="30">
                  <c:v>495.08</c:v>
                </c:pt>
                <c:pt idx="31">
                  <c:v>500.4</c:v>
                </c:pt>
                <c:pt idx="32">
                  <c:v>505.71</c:v>
                </c:pt>
                <c:pt idx="33">
                  <c:v>510.97</c:v>
                </c:pt>
                <c:pt idx="34">
                  <c:v>516.19000000000005</c:v>
                </c:pt>
                <c:pt idx="35">
                  <c:v>521.29999999999995</c:v>
                </c:pt>
                <c:pt idx="36">
                  <c:v>526.26</c:v>
                </c:pt>
                <c:pt idx="37">
                  <c:v>531.15</c:v>
                </c:pt>
                <c:pt idx="38">
                  <c:v>535.97</c:v>
                </c:pt>
                <c:pt idx="39">
                  <c:v>540.69000000000005</c:v>
                </c:pt>
                <c:pt idx="40">
                  <c:v>545.29999999999995</c:v>
                </c:pt>
                <c:pt idx="41">
                  <c:v>549.79</c:v>
                </c:pt>
                <c:pt idx="42">
                  <c:v>554.17999999999995</c:v>
                </c:pt>
                <c:pt idx="43">
                  <c:v>558.30999999999995</c:v>
                </c:pt>
                <c:pt idx="44">
                  <c:v>562.25</c:v>
                </c:pt>
                <c:pt idx="45">
                  <c:v>566.14</c:v>
                </c:pt>
                <c:pt idx="46">
                  <c:v>569.99</c:v>
                </c:pt>
                <c:pt idx="47">
                  <c:v>573.80999999999995</c:v>
                </c:pt>
                <c:pt idx="48">
                  <c:v>577.67999999999995</c:v>
                </c:pt>
                <c:pt idx="49">
                  <c:v>581.61</c:v>
                </c:pt>
                <c:pt idx="50">
                  <c:v>585.47</c:v>
                </c:pt>
                <c:pt idx="51">
                  <c:v>589.25</c:v>
                </c:pt>
                <c:pt idx="52">
                  <c:v>593.07000000000005</c:v>
                </c:pt>
                <c:pt idx="53">
                  <c:v>596.95000000000005</c:v>
                </c:pt>
                <c:pt idx="54">
                  <c:v>600.94000000000005</c:v>
                </c:pt>
                <c:pt idx="55">
                  <c:v>605.08000000000004</c:v>
                </c:pt>
                <c:pt idx="56">
                  <c:v>609.29999999999995</c:v>
                </c:pt>
                <c:pt idx="57">
                  <c:v>613.61</c:v>
                </c:pt>
                <c:pt idx="58">
                  <c:v>617.92999999999995</c:v>
                </c:pt>
                <c:pt idx="59">
                  <c:v>622.33000000000004</c:v>
                </c:pt>
                <c:pt idx="60">
                  <c:v>626.85</c:v>
                </c:pt>
                <c:pt idx="61">
                  <c:v>631.49</c:v>
                </c:pt>
                <c:pt idx="62">
                  <c:v>636.23</c:v>
                </c:pt>
                <c:pt idx="63">
                  <c:v>641.04</c:v>
                </c:pt>
                <c:pt idx="64">
                  <c:v>645.99</c:v>
                </c:pt>
                <c:pt idx="65">
                  <c:v>651.16999999999996</c:v>
                </c:pt>
                <c:pt idx="66">
                  <c:v>656.53</c:v>
                </c:pt>
                <c:pt idx="67">
                  <c:v>662.02</c:v>
                </c:pt>
                <c:pt idx="68">
                  <c:v>667.78</c:v>
                </c:pt>
                <c:pt idx="69">
                  <c:v>673.78</c:v>
                </c:pt>
                <c:pt idx="70">
                  <c:v>680.07</c:v>
                </c:pt>
                <c:pt idx="71">
                  <c:v>686.56</c:v>
                </c:pt>
                <c:pt idx="72">
                  <c:v>692.94</c:v>
                </c:pt>
                <c:pt idx="73">
                  <c:v>698.91</c:v>
                </c:pt>
                <c:pt idx="74">
                  <c:v>704.72</c:v>
                </c:pt>
                <c:pt idx="75">
                  <c:v>710.61</c:v>
                </c:pt>
                <c:pt idx="76">
                  <c:v>716.89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D2-4677-852C-F5E40AB05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448959"/>
        <c:axId val="240493599"/>
      </c:scatterChart>
      <c:valAx>
        <c:axId val="240448959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93599"/>
        <c:crosses val="autoZero"/>
        <c:crossBetween val="midCat"/>
      </c:valAx>
      <c:valAx>
        <c:axId val="24049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4895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139699</xdr:colOff>
      <xdr:row>4</xdr:row>
      <xdr:rowOff>63500</xdr:rowOff>
    </xdr:from>
    <xdr:to>
      <xdr:col>12</xdr:col>
      <xdr:colOff>228600</xdr:colOff>
      <xdr:row>24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06D636-02E3-315D-9BDA-533DFCDA51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2</xdr:row>
      <xdr:rowOff>38100</xdr:rowOff>
    </xdr:from>
    <xdr:to>
      <xdr:col>12</xdr:col>
      <xdr:colOff>168276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B23256-429A-499C-A822-0EE7004D6C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333374</xdr:colOff>
      <xdr:row>1</xdr:row>
      <xdr:rowOff>152400</xdr:rowOff>
    </xdr:from>
    <xdr:to>
      <xdr:col>12</xdr:col>
      <xdr:colOff>447674</xdr:colOff>
      <xdr:row>27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849B28-1CF4-46D1-BEDF-3A78060AA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457199</xdr:colOff>
      <xdr:row>2</xdr:row>
      <xdr:rowOff>171450</xdr:rowOff>
    </xdr:from>
    <xdr:to>
      <xdr:col>11</xdr:col>
      <xdr:colOff>241299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339840-96DB-84F5-9462-94245DB7D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285749</xdr:colOff>
      <xdr:row>3</xdr:row>
      <xdr:rowOff>123824</xdr:rowOff>
    </xdr:from>
    <xdr:to>
      <xdr:col>13</xdr:col>
      <xdr:colOff>295275</xdr:colOff>
      <xdr:row>30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1DA283-4033-406A-9006-603888C9E2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3</xdr:row>
      <xdr:rowOff>152400</xdr:rowOff>
    </xdr:from>
    <xdr:to>
      <xdr:col>10</xdr:col>
      <xdr:colOff>317500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BAE752-C1EB-4D0E-8921-8B8FDC859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552450</xdr:colOff>
      <xdr:row>10</xdr:row>
      <xdr:rowOff>47625</xdr:rowOff>
    </xdr:from>
    <xdr:to>
      <xdr:col>11</xdr:col>
      <xdr:colOff>620393</xdr:colOff>
      <xdr:row>33</xdr:row>
      <xdr:rowOff>117877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5CE572-7A8B-4515-A069-D56582FD8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4950" y="2190750"/>
          <a:ext cx="3992243" cy="447080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24947</xdr:colOff>
      <xdr:row>4</xdr:row>
      <xdr:rowOff>296333</xdr:rowOff>
    </xdr:from>
    <xdr:to>
      <xdr:col>7</xdr:col>
      <xdr:colOff>0</xdr:colOff>
      <xdr:row>4</xdr:row>
      <xdr:rowOff>671285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9B0F9EE-961E-4023-AC28-E21B7E65FD2A}"/>
            </a:ext>
          </a:extLst>
        </xdr:cNvPr>
        <xdr:cNvSpPr txBox="1"/>
      </xdr:nvSpPr>
      <xdr:spPr>
        <a:xfrm>
          <a:off x="1310822" y="1715558"/>
          <a:ext cx="6661603" cy="374952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alpha val="84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600">
              <a:effectLst/>
            </a:rPr>
            <a:t>LIMS: -</a:t>
          </a:r>
          <a:endParaRPr lang="th-TH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24947</xdr:colOff>
      <xdr:row>4</xdr:row>
      <xdr:rowOff>296333</xdr:rowOff>
    </xdr:from>
    <xdr:to>
      <xdr:col>7</xdr:col>
      <xdr:colOff>0</xdr:colOff>
      <xdr:row>4</xdr:row>
      <xdr:rowOff>671285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E5B2E6-BF7E-499E-83D9-8CF0C582B35B}"/>
            </a:ext>
          </a:extLst>
        </xdr:cNvPr>
        <xdr:cNvSpPr txBox="1"/>
      </xdr:nvSpPr>
      <xdr:spPr>
        <a:xfrm>
          <a:off x="1310822" y="1715558"/>
          <a:ext cx="6661603" cy="374952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alpha val="84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600">
              <a:effectLst/>
            </a:rPr>
            <a:t>LIMS: -</a:t>
          </a:r>
          <a:endParaRPr lang="th-TH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24947</xdr:colOff>
      <xdr:row>4</xdr:row>
      <xdr:rowOff>296333</xdr:rowOff>
    </xdr:from>
    <xdr:to>
      <xdr:col>10</xdr:col>
      <xdr:colOff>0</xdr:colOff>
      <xdr:row>4</xdr:row>
      <xdr:rowOff>671285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A3934C-C97B-472C-A60B-635BA88DCA57}"/>
            </a:ext>
          </a:extLst>
        </xdr:cNvPr>
        <xdr:cNvSpPr txBox="1"/>
      </xdr:nvSpPr>
      <xdr:spPr>
        <a:xfrm>
          <a:off x="1310822" y="1715558"/>
          <a:ext cx="8309428" cy="374952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alpha val="84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600">
              <a:effectLst/>
            </a:rPr>
            <a:t>LIMS: -</a:t>
          </a:r>
          <a:endParaRPr lang="th-TH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496659</xdr:colOff>
      <xdr:row>5</xdr:row>
      <xdr:rowOff>159202</xdr:rowOff>
    </xdr:from>
    <xdr:to>
      <xdr:col>11</xdr:col>
      <xdr:colOff>1496786</xdr:colOff>
      <xdr:row>12</xdr:row>
      <xdr:rowOff>435427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0C2534-76B0-43EF-8BFE-16FDF98B7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108857</xdr:colOff>
      <xdr:row>5</xdr:row>
      <xdr:rowOff>176892</xdr:rowOff>
    </xdr:from>
    <xdr:to>
      <xdr:col>23</xdr:col>
      <xdr:colOff>346983</xdr:colOff>
      <xdr:row>12</xdr:row>
      <xdr:rowOff>453117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25B55E-8FC6-4709-9EFF-A2EA706991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299355</xdr:colOff>
      <xdr:row>5</xdr:row>
      <xdr:rowOff>138792</xdr:rowOff>
    </xdr:from>
    <xdr:to>
      <xdr:col>54</xdr:col>
      <xdr:colOff>231322</xdr:colOff>
      <xdr:row>28</xdr:row>
      <xdr:rowOff>149678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A17C53-A09E-C7E1-E5A4-94CFD78A1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24947</xdr:colOff>
      <xdr:row>4</xdr:row>
      <xdr:rowOff>296333</xdr:rowOff>
    </xdr:from>
    <xdr:to>
      <xdr:col>7</xdr:col>
      <xdr:colOff>0</xdr:colOff>
      <xdr:row>4</xdr:row>
      <xdr:rowOff>671285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65E7F9D-BF8D-4C05-B2FD-EEC8332ED491}"/>
            </a:ext>
          </a:extLst>
        </xdr:cNvPr>
        <xdr:cNvSpPr txBox="1"/>
      </xdr:nvSpPr>
      <xdr:spPr>
        <a:xfrm>
          <a:off x="1310822" y="1715558"/>
          <a:ext cx="6661603" cy="374952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alpha val="84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600">
              <a:effectLst/>
            </a:rPr>
            <a:t>LIMS: -</a:t>
          </a:r>
          <a:endParaRPr lang="th-TH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312965</xdr:colOff>
      <xdr:row>0</xdr:row>
      <xdr:rowOff>122464</xdr:rowOff>
    </xdr:from>
    <xdr:to>
      <xdr:col>20</xdr:col>
      <xdr:colOff>272143</xdr:colOff>
      <xdr:row>6</xdr:row>
      <xdr:rowOff>176893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F77BF9-2AAD-B31C-D21D-B8D472C30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129</xdr:col>
      <xdr:colOff>0</xdr:colOff>
      <xdr:row>34</xdr:row>
      <xdr:rowOff>119064</xdr:rowOff>
    </xdr:from>
    <xdr:to>
      <xdr:col>134</xdr:col>
      <xdr:colOff>488404</xdr:colOff>
      <xdr:row>57</xdr:row>
      <xdr:rowOff>31473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4EB2C7-FF6E-4D36-BF0F-9DFF2D62C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20150" y="8386764"/>
          <a:ext cx="3984079" cy="441773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OP EOSL-A-ST-Krongkiat" id="{A3DA0FFC-5377-46BB-A874-FB2E428598F8}" userId="S::krongkiat@thaioilgroup.com::8be363cb-14e6-4581-84c5-ff3b19c1c15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8" dT="2024-12-25T06:58:12.22" personId="{A3DA0FFC-5377-46BB-A874-FB2E428598F8}" id="{54892A5B-1205-491C-9707-63163724BF1F}">
    <text>ASTM D2622 0.1560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BDEF-26B1-4B7F-A12B-719BDF7A1EAB}">
  <sheetPr>
    <tabColor theme="4" tint="0.59999389629810485"/>
  </sheetPr>
  <dimension ref="B2:BL166"/>
  <sheetViews>
    <sheetView zoomScale="95" workbookViewId="0">
      <pane xSplit="3" ySplit="6" topLeftCell="D7" activePane="bottomRight" state="frozen"/>
      <selection pane="topRight" activeCell="D1" sqref="D1"/>
      <selection pane="bottomLeft" activeCell="A6" sqref="A6"/>
      <selection pane="bottomRight" activeCell="G116" sqref="G116"/>
    </sheetView>
  </sheetViews>
  <sheetFormatPr defaultRowHeight="15" x14ac:dyDescent="0.25"/>
  <cols>
    <col min="1" max="1" width="3.140625" customWidth="1"/>
    <col min="2" max="2" width="2.85546875" customWidth="1"/>
    <col min="3" max="3" width="24.5703125" style="2" customWidth="1"/>
    <col min="4" max="14" width="10.28515625" customWidth="1"/>
    <col min="15" max="15" width="3.5703125" style="7" customWidth="1"/>
    <col min="16" max="16" width="10" customWidth="1"/>
    <col min="17" max="18" width="12.140625" bestFit="1" customWidth="1"/>
    <col min="27" max="27" width="3.5703125" style="7" customWidth="1"/>
    <col min="39" max="39" width="2.42578125" style="7" customWidth="1"/>
    <col min="40" max="49" width="9.7109375" bestFit="1" customWidth="1"/>
    <col min="50" max="50" width="9.7109375" customWidth="1"/>
    <col min="51" max="51" width="4" style="7" customWidth="1"/>
    <col min="52" max="61" width="9.7109375" bestFit="1" customWidth="1"/>
    <col min="62" max="62" width="9.7109375" customWidth="1"/>
    <col min="63" max="63" width="2.85546875" style="7" customWidth="1"/>
  </cols>
  <sheetData>
    <row r="2" spans="3:63" x14ac:dyDescent="0.25">
      <c r="D2" s="712" t="s">
        <v>244</v>
      </c>
      <c r="E2" s="711"/>
      <c r="F2" s="711"/>
      <c r="G2" s="711"/>
      <c r="H2" s="711"/>
      <c r="I2" s="711"/>
      <c r="J2" s="711"/>
      <c r="K2" s="711"/>
      <c r="L2" s="711"/>
      <c r="M2" s="711"/>
      <c r="N2" s="711"/>
      <c r="P2" s="2" t="s">
        <v>2</v>
      </c>
      <c r="Q2" s="2"/>
    </row>
    <row r="3" spans="3:63" x14ac:dyDescent="0.25">
      <c r="D3" t="s">
        <v>109</v>
      </c>
      <c r="P3" s="708" t="s">
        <v>26</v>
      </c>
      <c r="Q3" s="708"/>
      <c r="R3" s="4"/>
      <c r="S3" s="4"/>
      <c r="T3" s="4"/>
      <c r="U3" s="4"/>
      <c r="V3" s="4"/>
      <c r="W3" s="4"/>
      <c r="X3" s="4"/>
      <c r="Y3" s="4"/>
      <c r="Z3" s="4"/>
      <c r="AB3" s="713" t="s">
        <v>1</v>
      </c>
      <c r="AC3" s="714"/>
      <c r="AD3" s="714"/>
      <c r="AE3" s="714"/>
      <c r="AF3" s="714"/>
      <c r="AG3" s="714"/>
      <c r="AH3" s="714"/>
      <c r="AI3" s="714"/>
      <c r="AJ3" s="714"/>
      <c r="AK3" s="714"/>
      <c r="AL3" s="714"/>
      <c r="AN3" s="707" t="s">
        <v>3</v>
      </c>
      <c r="AO3" s="715"/>
      <c r="AP3" s="715"/>
      <c r="AQ3" s="715"/>
      <c r="AR3" s="715"/>
      <c r="AS3" s="715"/>
      <c r="AT3" s="715"/>
      <c r="AU3" s="715"/>
      <c r="AV3" s="715"/>
      <c r="AW3" s="715"/>
      <c r="AX3" s="715"/>
      <c r="AZ3" s="709" t="s">
        <v>4</v>
      </c>
      <c r="BA3" s="716"/>
      <c r="BB3" s="716"/>
      <c r="BC3" s="716"/>
      <c r="BD3" s="716"/>
      <c r="BE3" s="716"/>
      <c r="BF3" s="716"/>
      <c r="BG3" s="716"/>
      <c r="BH3" s="716"/>
      <c r="BI3" s="716"/>
      <c r="BJ3" s="716"/>
    </row>
    <row r="4" spans="3:63" x14ac:dyDescent="0.25">
      <c r="C4" s="2" t="s">
        <v>441</v>
      </c>
      <c r="D4" s="1">
        <v>45643</v>
      </c>
      <c r="E4" s="1">
        <v>45644</v>
      </c>
      <c r="F4" s="1">
        <v>45645</v>
      </c>
      <c r="G4" s="1">
        <v>45646</v>
      </c>
      <c r="H4" s="1">
        <v>45647</v>
      </c>
      <c r="I4" s="1">
        <v>45648</v>
      </c>
      <c r="J4" s="1">
        <v>45649</v>
      </c>
      <c r="K4" s="1">
        <v>45650</v>
      </c>
      <c r="L4" s="1">
        <v>45651</v>
      </c>
      <c r="M4" s="1">
        <v>45652</v>
      </c>
      <c r="N4" s="1">
        <v>45653</v>
      </c>
      <c r="P4" s="1">
        <v>45643</v>
      </c>
      <c r="Q4" s="1">
        <v>45644</v>
      </c>
      <c r="R4" s="1">
        <v>45645</v>
      </c>
      <c r="S4" s="1">
        <v>45646</v>
      </c>
      <c r="T4" s="1">
        <v>45647</v>
      </c>
      <c r="U4" s="1">
        <v>45648</v>
      </c>
      <c r="V4" s="1">
        <v>45649</v>
      </c>
      <c r="W4" s="1">
        <v>45650</v>
      </c>
      <c r="X4" s="1">
        <v>45651</v>
      </c>
      <c r="Y4" s="1">
        <v>45652</v>
      </c>
      <c r="Z4" s="1">
        <v>45653</v>
      </c>
      <c r="AB4" s="1">
        <v>45643</v>
      </c>
      <c r="AC4" s="1">
        <v>45644</v>
      </c>
      <c r="AD4" s="1">
        <v>45645</v>
      </c>
      <c r="AE4" s="1">
        <v>45646</v>
      </c>
      <c r="AF4" s="1">
        <v>45647</v>
      </c>
      <c r="AG4" s="1">
        <v>45648</v>
      </c>
      <c r="AH4" s="1">
        <v>45649</v>
      </c>
      <c r="AI4" s="1">
        <v>45650</v>
      </c>
      <c r="AJ4" s="1">
        <v>45651</v>
      </c>
      <c r="AK4" s="1">
        <v>45652</v>
      </c>
      <c r="AL4" s="1">
        <v>45653</v>
      </c>
      <c r="AN4" s="1">
        <v>45643</v>
      </c>
      <c r="AO4" s="1">
        <v>45644</v>
      </c>
      <c r="AP4" s="1">
        <v>45645</v>
      </c>
      <c r="AQ4" s="1">
        <v>45646</v>
      </c>
      <c r="AR4" s="1">
        <v>45647</v>
      </c>
      <c r="AS4" s="1">
        <v>45648</v>
      </c>
      <c r="AT4" s="1">
        <v>45649</v>
      </c>
      <c r="AU4" s="1">
        <v>45650</v>
      </c>
      <c r="AV4" s="1">
        <v>45651</v>
      </c>
      <c r="AW4" s="1">
        <v>45652</v>
      </c>
      <c r="AX4" s="1">
        <v>45653</v>
      </c>
      <c r="AZ4" s="1">
        <v>45643</v>
      </c>
      <c r="BA4" s="1">
        <v>45644</v>
      </c>
      <c r="BB4" s="1">
        <v>45645</v>
      </c>
      <c r="BC4" s="1">
        <v>45646</v>
      </c>
      <c r="BD4" s="1">
        <v>45647</v>
      </c>
      <c r="BE4" s="1">
        <v>45648</v>
      </c>
      <c r="BF4" s="1">
        <v>45649</v>
      </c>
      <c r="BG4" s="1">
        <v>45650</v>
      </c>
      <c r="BH4" s="1">
        <v>45651</v>
      </c>
      <c r="BI4" s="1">
        <v>45652</v>
      </c>
      <c r="BJ4" s="1">
        <v>45653</v>
      </c>
    </row>
    <row r="5" spans="3:63" x14ac:dyDescent="0.25">
      <c r="C5" s="520" t="s">
        <v>440</v>
      </c>
      <c r="D5" s="1">
        <v>45644</v>
      </c>
      <c r="E5" s="1">
        <v>45645</v>
      </c>
      <c r="F5" s="1">
        <v>45646</v>
      </c>
      <c r="G5" s="1">
        <v>45647</v>
      </c>
      <c r="H5" s="1">
        <v>45648</v>
      </c>
      <c r="I5" s="1">
        <v>45649</v>
      </c>
      <c r="J5" s="1">
        <v>45650</v>
      </c>
      <c r="K5" s="1">
        <v>45651</v>
      </c>
      <c r="L5" s="1">
        <v>45652</v>
      </c>
      <c r="M5" s="1">
        <v>45653</v>
      </c>
      <c r="N5" s="1">
        <v>45654</v>
      </c>
      <c r="O5" s="9"/>
      <c r="P5" s="1">
        <v>45644</v>
      </c>
      <c r="Q5" s="1">
        <v>45645</v>
      </c>
      <c r="R5" s="1">
        <v>45646</v>
      </c>
      <c r="S5" s="1">
        <v>45647</v>
      </c>
      <c r="T5" s="1">
        <v>45648</v>
      </c>
      <c r="U5" s="1">
        <v>45649</v>
      </c>
      <c r="V5" s="1">
        <v>45650</v>
      </c>
      <c r="W5" s="1">
        <v>45651</v>
      </c>
      <c r="X5" s="1">
        <v>45652</v>
      </c>
      <c r="Y5" s="1">
        <v>45653</v>
      </c>
      <c r="Z5" s="1">
        <v>45654</v>
      </c>
      <c r="AB5" s="1">
        <v>45644</v>
      </c>
      <c r="AC5" s="1">
        <v>45645</v>
      </c>
      <c r="AD5" s="1">
        <v>45646</v>
      </c>
      <c r="AE5" s="1">
        <v>45647</v>
      </c>
      <c r="AF5" s="1">
        <v>45648</v>
      </c>
      <c r="AG5" s="1">
        <v>45649</v>
      </c>
      <c r="AH5" s="1">
        <v>45650</v>
      </c>
      <c r="AI5" s="1">
        <v>45651</v>
      </c>
      <c r="AJ5" s="1">
        <v>45652</v>
      </c>
      <c r="AK5" s="1">
        <v>45653</v>
      </c>
      <c r="AL5" s="1">
        <v>45654</v>
      </c>
      <c r="AN5" s="1">
        <v>45644</v>
      </c>
      <c r="AO5" s="1">
        <v>45645</v>
      </c>
      <c r="AP5" s="1">
        <v>45646</v>
      </c>
      <c r="AQ5" s="1">
        <v>45647</v>
      </c>
      <c r="AR5" s="1">
        <v>45648</v>
      </c>
      <c r="AS5" s="1">
        <v>45649</v>
      </c>
      <c r="AT5" s="1">
        <v>45650</v>
      </c>
      <c r="AU5" s="1">
        <v>45651</v>
      </c>
      <c r="AV5" s="1">
        <v>45652</v>
      </c>
      <c r="AW5" s="1">
        <v>45653</v>
      </c>
      <c r="AX5" s="1">
        <v>45654</v>
      </c>
      <c r="AZ5" s="1">
        <v>45644</v>
      </c>
      <c r="BA5" s="1">
        <v>45645</v>
      </c>
      <c r="BB5" s="1">
        <v>45646</v>
      </c>
      <c r="BC5" s="1">
        <v>45647</v>
      </c>
      <c r="BD5" s="1">
        <v>45648</v>
      </c>
      <c r="BE5" s="1">
        <v>45649</v>
      </c>
      <c r="BF5" s="1">
        <v>45650</v>
      </c>
      <c r="BG5" s="1">
        <v>45651</v>
      </c>
      <c r="BH5" s="1">
        <v>45652</v>
      </c>
      <c r="BI5" s="1">
        <v>45653</v>
      </c>
      <c r="BJ5" s="1">
        <v>45654</v>
      </c>
    </row>
    <row r="6" spans="3:63" x14ac:dyDescent="0.25">
      <c r="C6" s="520" t="s">
        <v>270</v>
      </c>
      <c r="D6">
        <v>1</v>
      </c>
      <c r="E6">
        <v>2</v>
      </c>
      <c r="F6">
        <v>3</v>
      </c>
      <c r="G6">
        <v>4</v>
      </c>
      <c r="H6">
        <v>5</v>
      </c>
      <c r="I6">
        <v>6</v>
      </c>
      <c r="J6">
        <v>7</v>
      </c>
      <c r="K6">
        <v>8</v>
      </c>
      <c r="L6">
        <v>9</v>
      </c>
      <c r="M6">
        <v>10</v>
      </c>
      <c r="N6">
        <v>11</v>
      </c>
      <c r="P6">
        <v>1</v>
      </c>
      <c r="Q6">
        <v>2</v>
      </c>
      <c r="R6">
        <v>3</v>
      </c>
      <c r="S6">
        <v>4</v>
      </c>
      <c r="T6">
        <v>5</v>
      </c>
      <c r="U6">
        <v>6</v>
      </c>
      <c r="V6">
        <v>7</v>
      </c>
      <c r="W6">
        <v>8</v>
      </c>
      <c r="X6">
        <v>9</v>
      </c>
      <c r="Y6">
        <v>10</v>
      </c>
      <c r="Z6">
        <v>11</v>
      </c>
      <c r="AA6" s="9"/>
      <c r="AB6">
        <v>1</v>
      </c>
      <c r="AC6">
        <v>2</v>
      </c>
      <c r="AD6">
        <v>3</v>
      </c>
      <c r="AE6">
        <v>4</v>
      </c>
      <c r="AF6">
        <v>5</v>
      </c>
      <c r="AG6">
        <v>6</v>
      </c>
      <c r="AH6">
        <v>7</v>
      </c>
      <c r="AI6">
        <v>8</v>
      </c>
      <c r="AJ6">
        <v>9</v>
      </c>
      <c r="AK6">
        <v>10</v>
      </c>
      <c r="AL6">
        <v>11</v>
      </c>
      <c r="AN6">
        <v>1</v>
      </c>
      <c r="AO6">
        <v>2</v>
      </c>
      <c r="AP6">
        <v>3</v>
      </c>
      <c r="AQ6">
        <v>4</v>
      </c>
      <c r="AR6">
        <v>5</v>
      </c>
      <c r="AS6">
        <v>6</v>
      </c>
      <c r="AT6">
        <v>7</v>
      </c>
      <c r="AU6">
        <v>8</v>
      </c>
      <c r="AV6">
        <v>9</v>
      </c>
      <c r="AW6">
        <v>10</v>
      </c>
      <c r="AX6">
        <v>11</v>
      </c>
      <c r="AZ6">
        <v>1</v>
      </c>
      <c r="BA6">
        <v>2</v>
      </c>
      <c r="BB6">
        <v>3</v>
      </c>
      <c r="BC6">
        <v>4</v>
      </c>
      <c r="BD6">
        <v>5</v>
      </c>
      <c r="BE6">
        <v>6</v>
      </c>
      <c r="BF6">
        <v>7</v>
      </c>
      <c r="BG6">
        <v>8</v>
      </c>
      <c r="BH6">
        <v>9</v>
      </c>
      <c r="BI6">
        <v>10</v>
      </c>
      <c r="BJ6">
        <v>11</v>
      </c>
    </row>
    <row r="7" spans="3:63" x14ac:dyDescent="0.25">
      <c r="C7" s="2" t="s">
        <v>245</v>
      </c>
      <c r="D7" s="726" cm="1">
        <f t="array" ref="D7:D14">'MEBU HPS DAILY'!$G$63:$G$70</f>
        <v>0</v>
      </c>
      <c r="E7" s="726" cm="1">
        <f t="array" ref="E7:E14">'MEBU HPS DAILY'!$G$63:$G$70</f>
        <v>0</v>
      </c>
      <c r="F7" s="726" cm="1">
        <f t="array" ref="F7:F14">'MEBU HPS DAILY'!$G$63:$G$70</f>
        <v>0</v>
      </c>
      <c r="G7" s="726" cm="1">
        <f t="array" ref="G7:G14">'MEBU HPS DAILY'!$G$63:$G$70</f>
        <v>0</v>
      </c>
      <c r="H7" s="726" cm="1">
        <f t="array" ref="H7:H14">'MEBU HPS DAILY'!$G$63:$G$70</f>
        <v>0</v>
      </c>
      <c r="I7" s="726" cm="1">
        <f t="array" ref="I7:I14">'MEBU HPS DAILY'!$G$63:$G$70</f>
        <v>0</v>
      </c>
      <c r="J7" s="726" cm="1">
        <f t="array" ref="J7:J14">'MEBU HPS DAILY'!$G$63:$G$70</f>
        <v>0</v>
      </c>
      <c r="K7" s="726" cm="1">
        <f t="array" ref="K7:K14">'MEBU HPS DAILY'!$G$63:$G$70</f>
        <v>0</v>
      </c>
      <c r="L7" s="726" cm="1">
        <f t="array" ref="L7:L14">'MEBU HPS DAILY'!$G$63:$G$70</f>
        <v>0</v>
      </c>
      <c r="M7" s="726" cm="1">
        <f t="array" ref="M7:M14">'MEBU HPS DAILY'!$G$63:$G$70</f>
        <v>0</v>
      </c>
      <c r="N7" s="726" cm="1">
        <f t="array" ref="N7:N14">'MEBU HPS DAILY'!$G$63:$G$70</f>
        <v>0</v>
      </c>
      <c r="P7" s="777" cm="1">
        <f t="array" ref="P7:Z14">'MEBU HPS DAILY'!L63:V70</f>
        <v>0</v>
      </c>
      <c r="Q7" s="777">
        <v>0.42</v>
      </c>
      <c r="R7" s="777">
        <v>0.38</v>
      </c>
      <c r="S7" s="777">
        <v>0.4</v>
      </c>
      <c r="T7" s="777">
        <v>6.7000000000000004E-2</v>
      </c>
      <c r="U7" s="777">
        <v>0</v>
      </c>
      <c r="V7" s="777">
        <v>0.41</v>
      </c>
      <c r="W7" s="777">
        <v>0.68</v>
      </c>
      <c r="X7" s="777">
        <v>0.79</v>
      </c>
      <c r="Y7" s="777">
        <v>0.63</v>
      </c>
      <c r="Z7" s="777">
        <v>1.0680000000000001</v>
      </c>
      <c r="AA7" s="684"/>
      <c r="AB7" s="683" cm="1">
        <f t="array" ref="AB7:AL14">'MEBU LTO DAILY'!H54:R61</f>
        <v>2.5</v>
      </c>
      <c r="AC7" s="683">
        <v>2.5</v>
      </c>
      <c r="AD7" s="683">
        <v>3.5</v>
      </c>
      <c r="AE7" s="683">
        <v>12</v>
      </c>
      <c r="AF7" s="683">
        <v>12</v>
      </c>
      <c r="AG7" s="683">
        <v>12</v>
      </c>
      <c r="AH7" s="683">
        <v>12.5</v>
      </c>
      <c r="AI7" s="683">
        <v>11.5</v>
      </c>
      <c r="AJ7" s="683">
        <v>12</v>
      </c>
      <c r="AK7" s="683">
        <v>12.5</v>
      </c>
      <c r="AL7" s="683">
        <v>12</v>
      </c>
    </row>
    <row r="8" spans="3:63" x14ac:dyDescent="0.25">
      <c r="C8" s="2" t="s">
        <v>234</v>
      </c>
      <c r="D8" s="726">
        <v>0</v>
      </c>
      <c r="E8" s="726">
        <v>0</v>
      </c>
      <c r="F8" s="726">
        <v>0</v>
      </c>
      <c r="G8" s="726">
        <v>0</v>
      </c>
      <c r="H8" s="726">
        <v>0</v>
      </c>
      <c r="I8" s="726">
        <v>0</v>
      </c>
      <c r="J8" s="726">
        <v>0</v>
      </c>
      <c r="K8" s="726">
        <v>0</v>
      </c>
      <c r="L8" s="726">
        <v>0</v>
      </c>
      <c r="M8" s="726">
        <v>0</v>
      </c>
      <c r="N8" s="726">
        <v>0</v>
      </c>
      <c r="P8" s="777">
        <v>1.4</v>
      </c>
      <c r="Q8" s="777">
        <v>2.06</v>
      </c>
      <c r="R8" s="777">
        <v>1.91</v>
      </c>
      <c r="S8" s="777">
        <v>1.93</v>
      </c>
      <c r="T8" s="777">
        <v>1.7210000000000001</v>
      </c>
      <c r="U8" s="777">
        <v>0.4</v>
      </c>
      <c r="V8" s="777">
        <v>2.0099999999999998</v>
      </c>
      <c r="W8" s="777">
        <v>2.13</v>
      </c>
      <c r="X8" s="777">
        <v>1.97</v>
      </c>
      <c r="Y8" s="777">
        <v>2.15</v>
      </c>
      <c r="Z8" s="777">
        <v>1.8029999999999999</v>
      </c>
      <c r="AA8" s="684"/>
      <c r="AB8" s="683">
        <v>17.5</v>
      </c>
      <c r="AC8" s="683">
        <v>18</v>
      </c>
      <c r="AD8" s="683">
        <v>18.5</v>
      </c>
      <c r="AE8" s="683">
        <v>23</v>
      </c>
      <c r="AF8" s="683">
        <v>23</v>
      </c>
      <c r="AG8" s="683">
        <v>23</v>
      </c>
      <c r="AH8" s="683">
        <v>22.5</v>
      </c>
      <c r="AI8" s="683">
        <v>22.5</v>
      </c>
      <c r="AJ8" s="683">
        <v>23</v>
      </c>
      <c r="AK8" s="683">
        <v>23</v>
      </c>
      <c r="AL8" s="683">
        <v>23</v>
      </c>
    </row>
    <row r="9" spans="3:63" x14ac:dyDescent="0.25">
      <c r="C9" s="2" t="s">
        <v>235</v>
      </c>
      <c r="D9" s="726">
        <v>0</v>
      </c>
      <c r="E9" s="726">
        <v>0</v>
      </c>
      <c r="F9" s="726">
        <v>0</v>
      </c>
      <c r="G9" s="726">
        <v>0</v>
      </c>
      <c r="H9" s="726">
        <v>0</v>
      </c>
      <c r="I9" s="726">
        <v>0</v>
      </c>
      <c r="J9" s="726">
        <v>0</v>
      </c>
      <c r="K9" s="726">
        <v>0</v>
      </c>
      <c r="L9" s="726">
        <v>0</v>
      </c>
      <c r="M9" s="726">
        <v>0</v>
      </c>
      <c r="N9" s="726">
        <v>0</v>
      </c>
      <c r="P9" s="777">
        <v>7</v>
      </c>
      <c r="Q9" s="777">
        <v>7.37</v>
      </c>
      <c r="R9" s="777">
        <v>6.96</v>
      </c>
      <c r="S9" s="777">
        <v>6.87</v>
      </c>
      <c r="T9" s="777">
        <v>7.2619999999999996</v>
      </c>
      <c r="U9" s="777">
        <v>6.5</v>
      </c>
      <c r="V9" s="777">
        <v>6.73</v>
      </c>
      <c r="W9" s="777">
        <v>7.22</v>
      </c>
      <c r="X9" s="777">
        <v>7.11</v>
      </c>
      <c r="Y9" s="777">
        <v>7.22</v>
      </c>
      <c r="Z9" s="777">
        <v>7.2649999999999997</v>
      </c>
      <c r="AA9" s="684"/>
      <c r="AB9" s="683">
        <v>40</v>
      </c>
      <c r="AC9" s="683">
        <v>42.5</v>
      </c>
      <c r="AD9" s="683">
        <v>42</v>
      </c>
      <c r="AE9" s="683">
        <v>35</v>
      </c>
      <c r="AF9" s="683">
        <v>35.5</v>
      </c>
      <c r="AG9" s="683">
        <v>35.5</v>
      </c>
      <c r="AH9" s="683">
        <v>36</v>
      </c>
      <c r="AI9" s="683">
        <v>36</v>
      </c>
      <c r="AJ9" s="683">
        <v>36</v>
      </c>
      <c r="AK9" s="683">
        <v>35.5</v>
      </c>
      <c r="AL9" s="683">
        <v>36</v>
      </c>
    </row>
    <row r="10" spans="3:63" x14ac:dyDescent="0.25">
      <c r="C10" s="2" t="s">
        <v>236</v>
      </c>
      <c r="D10" s="726">
        <v>0</v>
      </c>
      <c r="E10" s="726">
        <v>0</v>
      </c>
      <c r="F10" s="726">
        <v>0</v>
      </c>
      <c r="G10" s="726">
        <v>0</v>
      </c>
      <c r="H10" s="726">
        <v>0</v>
      </c>
      <c r="I10" s="726">
        <v>0</v>
      </c>
      <c r="J10" s="726">
        <v>0</v>
      </c>
      <c r="K10" s="726">
        <v>0</v>
      </c>
      <c r="L10" s="726">
        <v>0</v>
      </c>
      <c r="M10" s="726">
        <v>0</v>
      </c>
      <c r="N10" s="726">
        <v>0</v>
      </c>
      <c r="P10" s="777">
        <v>15.7</v>
      </c>
      <c r="Q10" s="777">
        <v>17.8</v>
      </c>
      <c r="R10" s="777">
        <v>16.87</v>
      </c>
      <c r="S10" s="777">
        <v>16.899999999999999</v>
      </c>
      <c r="T10" s="777">
        <v>16.489000000000001</v>
      </c>
      <c r="U10" s="777">
        <v>16.100000000000001</v>
      </c>
      <c r="V10" s="777">
        <v>15.94</v>
      </c>
      <c r="W10" s="777">
        <v>17.440000000000001</v>
      </c>
      <c r="X10" s="777">
        <v>17.21</v>
      </c>
      <c r="Y10" s="777">
        <v>17.649999999999999</v>
      </c>
      <c r="Z10" s="777">
        <v>16.48</v>
      </c>
      <c r="AA10" s="684"/>
      <c r="AB10" s="683">
        <v>30</v>
      </c>
      <c r="AC10" s="683">
        <v>30</v>
      </c>
      <c r="AD10" s="683">
        <v>29</v>
      </c>
      <c r="AE10" s="683">
        <v>24</v>
      </c>
      <c r="AF10" s="683">
        <v>24</v>
      </c>
      <c r="AG10" s="683">
        <v>24</v>
      </c>
      <c r="AH10" s="683">
        <v>23.5</v>
      </c>
      <c r="AI10" s="683">
        <v>24.5</v>
      </c>
      <c r="AJ10" s="683">
        <v>23.5</v>
      </c>
      <c r="AK10" s="683">
        <v>23.5</v>
      </c>
      <c r="AL10" s="683">
        <v>23.5</v>
      </c>
    </row>
    <row r="11" spans="3:63" x14ac:dyDescent="0.25">
      <c r="C11" s="2" t="s">
        <v>237</v>
      </c>
      <c r="D11" s="726">
        <v>4.17</v>
      </c>
      <c r="E11" s="726">
        <v>4.17</v>
      </c>
      <c r="F11" s="726">
        <v>4.17</v>
      </c>
      <c r="G11" s="726">
        <v>4.17</v>
      </c>
      <c r="H11" s="726">
        <v>4.17</v>
      </c>
      <c r="I11" s="726">
        <v>4.17</v>
      </c>
      <c r="J11" s="726">
        <v>4.17</v>
      </c>
      <c r="K11" s="726">
        <v>4.17</v>
      </c>
      <c r="L11" s="726">
        <v>4.17</v>
      </c>
      <c r="M11" s="726">
        <v>4.17</v>
      </c>
      <c r="N11" s="726">
        <v>4.17</v>
      </c>
      <c r="P11" s="777">
        <v>25.8</v>
      </c>
      <c r="Q11" s="777">
        <v>30.78</v>
      </c>
      <c r="R11" s="777">
        <v>29.69</v>
      </c>
      <c r="S11" s="777">
        <v>29.89</v>
      </c>
      <c r="T11" s="777">
        <v>29.027000000000001</v>
      </c>
      <c r="U11" s="777">
        <v>29.2</v>
      </c>
      <c r="V11" s="777">
        <v>28.88</v>
      </c>
      <c r="W11" s="777">
        <v>30.36</v>
      </c>
      <c r="X11" s="777">
        <v>29.71</v>
      </c>
      <c r="Y11" s="777">
        <v>30.88</v>
      </c>
      <c r="Z11" s="777">
        <v>28.138000000000002</v>
      </c>
      <c r="AA11" s="684"/>
      <c r="AB11" s="683">
        <v>10</v>
      </c>
      <c r="AC11" s="683">
        <v>7</v>
      </c>
      <c r="AD11" s="683">
        <v>7</v>
      </c>
      <c r="AE11" s="683">
        <v>6</v>
      </c>
      <c r="AF11" s="683">
        <v>5.5</v>
      </c>
      <c r="AG11" s="683">
        <v>5.5</v>
      </c>
      <c r="AH11" s="683">
        <v>5.5</v>
      </c>
      <c r="AI11" s="683">
        <v>5.5</v>
      </c>
      <c r="AJ11" s="683">
        <v>5.5</v>
      </c>
      <c r="AK11" s="683">
        <v>5.5</v>
      </c>
      <c r="AL11" s="683">
        <v>5.5</v>
      </c>
    </row>
    <row r="12" spans="3:63" x14ac:dyDescent="0.25">
      <c r="C12" s="2" t="s">
        <v>232</v>
      </c>
      <c r="D12" s="726">
        <v>9.8800000000000008</v>
      </c>
      <c r="E12" s="726">
        <v>9.8800000000000008</v>
      </c>
      <c r="F12" s="726">
        <v>9.8800000000000008</v>
      </c>
      <c r="G12" s="726">
        <v>9.8800000000000008</v>
      </c>
      <c r="H12" s="726">
        <v>9.8800000000000008</v>
      </c>
      <c r="I12" s="726">
        <v>9.8800000000000008</v>
      </c>
      <c r="J12" s="726">
        <v>9.8800000000000008</v>
      </c>
      <c r="K12" s="726">
        <v>9.8800000000000008</v>
      </c>
      <c r="L12" s="726">
        <v>9.8800000000000008</v>
      </c>
      <c r="M12" s="726">
        <v>9.8800000000000008</v>
      </c>
      <c r="N12" s="726">
        <v>9.8800000000000008</v>
      </c>
      <c r="P12" s="777">
        <v>11.5</v>
      </c>
      <c r="Q12" s="777">
        <v>14.66</v>
      </c>
      <c r="R12" s="777">
        <v>13.97</v>
      </c>
      <c r="S12" s="777">
        <v>14.02</v>
      </c>
      <c r="T12" s="777">
        <v>13.298999999999999</v>
      </c>
      <c r="U12" s="777">
        <v>14</v>
      </c>
      <c r="V12" s="777">
        <v>13.74</v>
      </c>
      <c r="W12" s="777">
        <v>13.49</v>
      </c>
      <c r="X12" s="777">
        <v>13.31</v>
      </c>
      <c r="Y12" s="777">
        <v>13.7</v>
      </c>
      <c r="Z12" s="777">
        <v>12.109</v>
      </c>
      <c r="AA12" s="684"/>
      <c r="AB12" s="683">
        <v>0</v>
      </c>
      <c r="AC12" s="683">
        <v>0</v>
      </c>
      <c r="AD12" s="683">
        <v>0</v>
      </c>
      <c r="AE12" s="683">
        <v>0</v>
      </c>
      <c r="AF12" s="683">
        <v>0</v>
      </c>
      <c r="AG12" s="683">
        <v>0</v>
      </c>
      <c r="AH12" s="683">
        <v>0</v>
      </c>
      <c r="AI12" s="683">
        <v>0</v>
      </c>
      <c r="AJ12" s="683">
        <v>0</v>
      </c>
      <c r="AK12" s="683">
        <v>0</v>
      </c>
      <c r="AL12" s="683">
        <v>0</v>
      </c>
    </row>
    <row r="13" spans="3:63" ht="15.75" thickBot="1" x14ac:dyDescent="0.3">
      <c r="C13" s="2" t="s">
        <v>233</v>
      </c>
      <c r="D13" s="726">
        <v>85.95</v>
      </c>
      <c r="E13" s="726">
        <v>85.95</v>
      </c>
      <c r="F13" s="726">
        <v>85.95</v>
      </c>
      <c r="G13" s="726">
        <v>85.95</v>
      </c>
      <c r="H13" s="726">
        <v>85.95</v>
      </c>
      <c r="I13" s="726">
        <v>85.95</v>
      </c>
      <c r="J13" s="726">
        <v>85.95</v>
      </c>
      <c r="K13" s="726">
        <v>85.95</v>
      </c>
      <c r="L13" s="726">
        <v>85.95</v>
      </c>
      <c r="M13" s="726">
        <v>85.95</v>
      </c>
      <c r="N13" s="726">
        <v>85.95</v>
      </c>
      <c r="P13" s="727">
        <v>38.599999999999994</v>
      </c>
      <c r="Q13" s="727">
        <v>26.909999999999997</v>
      </c>
      <c r="R13" s="727">
        <v>30.22</v>
      </c>
      <c r="S13" s="727">
        <v>29.990000000000009</v>
      </c>
      <c r="T13" s="727">
        <v>32.134999999999991</v>
      </c>
      <c r="U13" s="727">
        <v>33.799999999999997</v>
      </c>
      <c r="V13" s="727">
        <v>32.290000000000006</v>
      </c>
      <c r="W13" s="727">
        <v>28.680000000000007</v>
      </c>
      <c r="X13" s="727">
        <v>29.899999999999991</v>
      </c>
      <c r="Y13" s="727">
        <v>27.769999999999996</v>
      </c>
      <c r="Z13" s="727">
        <v>33.137</v>
      </c>
      <c r="AA13" s="684"/>
      <c r="AB13" s="683">
        <v>0</v>
      </c>
      <c r="AC13" s="683">
        <v>0</v>
      </c>
      <c r="AD13" s="683">
        <v>0</v>
      </c>
      <c r="AE13" s="683">
        <v>0</v>
      </c>
      <c r="AF13" s="683">
        <v>0</v>
      </c>
      <c r="AG13" s="683">
        <v>0</v>
      </c>
      <c r="AH13" s="683">
        <v>0</v>
      </c>
      <c r="AI13" s="683">
        <v>0</v>
      </c>
      <c r="AJ13" s="683">
        <v>0</v>
      </c>
      <c r="AK13" s="683">
        <v>0</v>
      </c>
      <c r="AL13" s="683">
        <v>0</v>
      </c>
    </row>
    <row r="14" spans="3:63" s="689" customFormat="1" ht="15.75" thickBot="1" x14ac:dyDescent="0.3">
      <c r="C14" s="5" t="s">
        <v>370</v>
      </c>
      <c r="D14" s="6">
        <v>100</v>
      </c>
      <c r="E14" s="6">
        <v>100</v>
      </c>
      <c r="F14" s="6">
        <v>100</v>
      </c>
      <c r="G14" s="6">
        <v>100</v>
      </c>
      <c r="H14" s="6">
        <v>100</v>
      </c>
      <c r="I14" s="6">
        <v>100</v>
      </c>
      <c r="J14" s="6">
        <v>100</v>
      </c>
      <c r="K14" s="6">
        <v>100</v>
      </c>
      <c r="L14" s="6">
        <v>100</v>
      </c>
      <c r="M14" s="6">
        <v>100</v>
      </c>
      <c r="N14" s="6">
        <v>100</v>
      </c>
      <c r="O14" s="686"/>
      <c r="P14" s="687">
        <v>100</v>
      </c>
      <c r="Q14" s="687">
        <v>100</v>
      </c>
      <c r="R14" s="687">
        <v>100</v>
      </c>
      <c r="S14" s="687">
        <v>100</v>
      </c>
      <c r="T14" s="687">
        <v>100</v>
      </c>
      <c r="U14" s="687">
        <v>100</v>
      </c>
      <c r="V14" s="687">
        <v>100</v>
      </c>
      <c r="W14" s="687">
        <v>100</v>
      </c>
      <c r="X14" s="687">
        <v>100</v>
      </c>
      <c r="Y14" s="687">
        <v>100</v>
      </c>
      <c r="Z14" s="687">
        <v>100</v>
      </c>
      <c r="AA14" s="688"/>
      <c r="AB14" s="687">
        <v>100</v>
      </c>
      <c r="AC14" s="687">
        <v>100</v>
      </c>
      <c r="AD14" s="687">
        <v>100</v>
      </c>
      <c r="AE14" s="687">
        <v>100</v>
      </c>
      <c r="AF14" s="687">
        <v>100</v>
      </c>
      <c r="AG14" s="687">
        <v>100</v>
      </c>
      <c r="AH14" s="687">
        <v>100</v>
      </c>
      <c r="AI14" s="687">
        <v>100</v>
      </c>
      <c r="AJ14" s="687">
        <v>100</v>
      </c>
      <c r="AK14" s="687">
        <v>100</v>
      </c>
      <c r="AL14" s="687">
        <v>100</v>
      </c>
      <c r="AM14" s="686"/>
      <c r="AY14" s="686"/>
      <c r="BK14" s="686"/>
    </row>
    <row r="16" spans="3:63" x14ac:dyDescent="0.25">
      <c r="C16" s="2" t="s">
        <v>113</v>
      </c>
      <c r="D16" s="683" cm="1">
        <f t="array" ref="D16:D17">'MEBU HPS DAILY'!$G$40:$G$41</f>
        <v>73.400000000000006</v>
      </c>
      <c r="E16" s="683" cm="1">
        <f t="array" ref="E16:E17">'MEBU HPS DAILY'!$G$40:$G$41</f>
        <v>73.400000000000006</v>
      </c>
      <c r="F16" s="683" cm="1">
        <f t="array" ref="F16:F17">'MEBU HPS DAILY'!$G$40:$G$41</f>
        <v>73.400000000000006</v>
      </c>
      <c r="G16" s="683" cm="1">
        <f t="array" ref="G16:G17">'MEBU HPS DAILY'!$G$40:$G$41</f>
        <v>73.400000000000006</v>
      </c>
      <c r="H16" s="683" cm="1">
        <f t="array" ref="H16:H17">'MEBU HPS DAILY'!$G$40:$G$41</f>
        <v>73.400000000000006</v>
      </c>
      <c r="I16" s="683" cm="1">
        <f t="array" ref="I16:I17">'MEBU HPS DAILY'!$G$40:$G$41</f>
        <v>73.400000000000006</v>
      </c>
      <c r="J16" s="683" cm="1">
        <f t="array" ref="J16:J17">'MEBU HPS DAILY'!$G$40:$G$41</f>
        <v>73.400000000000006</v>
      </c>
      <c r="K16" s="683" cm="1">
        <f t="array" ref="K16:K17">'MEBU HPS DAILY'!$G$40:$G$41</f>
        <v>73.400000000000006</v>
      </c>
      <c r="L16" s="683" cm="1">
        <f t="array" ref="L16:L17">'MEBU HPS DAILY'!$G$40:$G$41</f>
        <v>73.400000000000006</v>
      </c>
      <c r="M16" s="683" cm="1">
        <f t="array" ref="M16:M17">'MEBU HPS DAILY'!$G$40:$G$41</f>
        <v>73.400000000000006</v>
      </c>
      <c r="N16" s="683" cm="1">
        <f t="array" ref="N16:N17">'MEBU HPS DAILY'!$G$40:$G$41</f>
        <v>73.400000000000006</v>
      </c>
      <c r="O16" s="684"/>
      <c r="P16" s="691" cm="1">
        <f t="array" ref="P16:Z17">'MEBU HPS DAILY'!L40:V41</f>
        <v>4.5599999999999996</v>
      </c>
      <c r="Q16" s="683">
        <v>4.83</v>
      </c>
      <c r="R16" s="683">
        <v>6.31</v>
      </c>
      <c r="S16" s="683">
        <v>6.74</v>
      </c>
      <c r="T16" s="683">
        <v>7.68</v>
      </c>
      <c r="U16" s="683">
        <v>8.52</v>
      </c>
      <c r="V16" s="683">
        <v>9.16</v>
      </c>
      <c r="W16" s="683">
        <v>8.9499999999999993</v>
      </c>
      <c r="X16" s="683">
        <v>9.61</v>
      </c>
      <c r="Y16" s="683">
        <v>9.66</v>
      </c>
      <c r="Z16" s="683">
        <v>10.08</v>
      </c>
      <c r="AA16" s="684"/>
      <c r="AB16" s="683">
        <v>0</v>
      </c>
      <c r="AC16" s="683">
        <v>0</v>
      </c>
      <c r="AD16" s="683">
        <v>0</v>
      </c>
      <c r="AE16" s="683">
        <v>0</v>
      </c>
      <c r="AF16" s="683">
        <v>0</v>
      </c>
      <c r="AG16" s="683">
        <v>0</v>
      </c>
      <c r="AH16" s="683">
        <v>0</v>
      </c>
      <c r="AI16" s="683">
        <v>0</v>
      </c>
      <c r="AJ16" s="683">
        <v>0</v>
      </c>
      <c r="AK16" s="683">
        <v>0</v>
      </c>
      <c r="AL16" s="683">
        <v>0</v>
      </c>
    </row>
    <row r="17" spans="3:38" x14ac:dyDescent="0.25">
      <c r="C17" s="2" t="s">
        <v>114</v>
      </c>
      <c r="D17" s="683">
        <v>238.34</v>
      </c>
      <c r="E17" s="683">
        <v>238.34</v>
      </c>
      <c r="F17" s="683">
        <v>238.34</v>
      </c>
      <c r="G17" s="683">
        <v>238.34</v>
      </c>
      <c r="H17" s="683">
        <v>238.34</v>
      </c>
      <c r="I17" s="683">
        <v>238.34</v>
      </c>
      <c r="J17" s="683">
        <v>238.34</v>
      </c>
      <c r="K17" s="683">
        <v>238.34</v>
      </c>
      <c r="L17" s="683">
        <v>238.34</v>
      </c>
      <c r="M17" s="683">
        <v>238.34</v>
      </c>
      <c r="N17" s="683">
        <v>238.34</v>
      </c>
      <c r="O17" s="684"/>
      <c r="P17" s="683">
        <v>2.66</v>
      </c>
      <c r="Q17" s="683">
        <v>0.91</v>
      </c>
      <c r="R17" s="683">
        <v>1.61</v>
      </c>
      <c r="S17" s="683">
        <v>1.76</v>
      </c>
      <c r="T17" s="683">
        <v>2.1800000000000002</v>
      </c>
      <c r="U17" s="683">
        <v>2.52</v>
      </c>
      <c r="V17" s="683">
        <v>2.81</v>
      </c>
      <c r="W17" s="683">
        <v>2.5299999999999998</v>
      </c>
      <c r="X17" s="683">
        <v>3.14</v>
      </c>
      <c r="Y17" s="683">
        <v>3.16</v>
      </c>
      <c r="Z17" s="683">
        <v>3.32</v>
      </c>
      <c r="AA17" s="684"/>
      <c r="AB17" s="683">
        <v>0</v>
      </c>
      <c r="AC17" s="683">
        <v>0</v>
      </c>
      <c r="AD17" s="683">
        <v>0</v>
      </c>
      <c r="AE17" s="683">
        <v>0</v>
      </c>
      <c r="AF17" s="683">
        <v>0</v>
      </c>
      <c r="AG17" s="683">
        <v>0</v>
      </c>
      <c r="AH17" s="683">
        <v>0</v>
      </c>
      <c r="AI17" s="683">
        <v>0</v>
      </c>
      <c r="AJ17" s="683">
        <v>0</v>
      </c>
      <c r="AK17" s="683">
        <v>0</v>
      </c>
      <c r="AL17" s="683">
        <v>0</v>
      </c>
    </row>
    <row r="18" spans="3:38" x14ac:dyDescent="0.25">
      <c r="C18" s="2" t="s">
        <v>115</v>
      </c>
      <c r="D18" s="683">
        <f>'MEBU HPS DAILY'!$G$44</f>
        <v>19.399999999999999</v>
      </c>
      <c r="E18" s="683">
        <f>'MEBU HPS DAILY'!$G$44</f>
        <v>19.399999999999999</v>
      </c>
      <c r="F18" s="683">
        <f>'MEBU HPS DAILY'!$G$44</f>
        <v>19.399999999999999</v>
      </c>
      <c r="G18" s="683">
        <f>'MEBU HPS DAILY'!$G$44</f>
        <v>19.399999999999999</v>
      </c>
      <c r="H18" s="683">
        <f>'MEBU HPS DAILY'!$G$44</f>
        <v>19.399999999999999</v>
      </c>
      <c r="I18" s="683">
        <f>'MEBU HPS DAILY'!$G$44</f>
        <v>19.399999999999999</v>
      </c>
      <c r="J18" s="683">
        <f>'MEBU HPS DAILY'!$G$44</f>
        <v>19.399999999999999</v>
      </c>
      <c r="K18" s="683">
        <f>'MEBU HPS DAILY'!$G$44</f>
        <v>19.399999999999999</v>
      </c>
      <c r="L18" s="683">
        <f>'MEBU HPS DAILY'!$G$44</f>
        <v>19.399999999999999</v>
      </c>
      <c r="M18" s="683">
        <f>'MEBU HPS DAILY'!$G$44</f>
        <v>19.399999999999999</v>
      </c>
      <c r="N18" s="683">
        <f>'MEBU HPS DAILY'!$G$44</f>
        <v>19.399999999999999</v>
      </c>
      <c r="O18" s="684"/>
      <c r="P18" s="691" cm="1">
        <f t="array" ref="P18:Z18">'MEBU HPS DAILY'!L44:V44</f>
        <v>3.03</v>
      </c>
      <c r="Q18" s="683">
        <v>7.08</v>
      </c>
      <c r="R18" s="683">
        <v>2.19</v>
      </c>
      <c r="S18" s="683">
        <v>0.44</v>
      </c>
      <c r="T18" s="683">
        <v>0.87</v>
      </c>
      <c r="U18" s="683">
        <v>0.61</v>
      </c>
      <c r="V18" s="683">
        <v>0.45</v>
      </c>
      <c r="W18" s="683">
        <v>0.45</v>
      </c>
      <c r="X18" s="683">
        <v>0.54</v>
      </c>
      <c r="Y18" s="683">
        <v>1.43</v>
      </c>
      <c r="Z18" s="683">
        <v>0.32</v>
      </c>
      <c r="AA18" s="684"/>
      <c r="AB18" s="683">
        <v>0</v>
      </c>
      <c r="AC18" s="683">
        <v>0</v>
      </c>
      <c r="AD18" s="683">
        <v>0</v>
      </c>
      <c r="AE18" s="683">
        <v>0</v>
      </c>
      <c r="AF18" s="683">
        <v>0</v>
      </c>
      <c r="AG18" s="683">
        <v>0</v>
      </c>
      <c r="AH18" s="683">
        <v>0</v>
      </c>
      <c r="AI18" s="683">
        <v>0</v>
      </c>
      <c r="AJ18" s="683">
        <v>0</v>
      </c>
      <c r="AK18" s="683">
        <v>0</v>
      </c>
      <c r="AL18" s="683">
        <v>0</v>
      </c>
    </row>
    <row r="19" spans="3:38" x14ac:dyDescent="0.25"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684"/>
      <c r="AB19" s="683"/>
      <c r="AC19" s="683"/>
      <c r="AD19" s="683"/>
      <c r="AE19" s="683"/>
      <c r="AF19" s="683"/>
      <c r="AG19" s="683"/>
      <c r="AH19" s="683"/>
      <c r="AI19" s="683"/>
      <c r="AJ19" s="683"/>
      <c r="AK19" s="683"/>
      <c r="AL19" s="683"/>
    </row>
    <row r="20" spans="3:38" x14ac:dyDescent="0.25">
      <c r="C20" s="2" t="s">
        <v>381</v>
      </c>
      <c r="D20" s="683">
        <f>'MEBU HPS DAILY'!$G$23</f>
        <v>0.3301</v>
      </c>
      <c r="E20" s="683">
        <f>'MEBU HPS DAILY'!$G$23</f>
        <v>0.3301</v>
      </c>
      <c r="F20" s="683">
        <f>'MEBU HPS DAILY'!$G$23</f>
        <v>0.3301</v>
      </c>
      <c r="G20" s="683">
        <f>'MEBU HPS DAILY'!$G$23</f>
        <v>0.3301</v>
      </c>
      <c r="H20" s="683">
        <f>'MEBU HPS DAILY'!$G$23</f>
        <v>0.3301</v>
      </c>
      <c r="I20" s="683">
        <f>'MEBU HPS DAILY'!$G$23</f>
        <v>0.3301</v>
      </c>
      <c r="J20" s="683">
        <f>'MEBU HPS DAILY'!$G$23</f>
        <v>0.3301</v>
      </c>
      <c r="K20" s="683">
        <f>'MEBU HPS DAILY'!$G$23</f>
        <v>0.3301</v>
      </c>
      <c r="L20" s="683">
        <f>'MEBU HPS DAILY'!$G$23</f>
        <v>0.3301</v>
      </c>
      <c r="M20" s="683">
        <f>'MEBU HPS DAILY'!$G$23</f>
        <v>0.3301</v>
      </c>
      <c r="N20" s="683">
        <f>'MEBU HPS DAILY'!$G$23</f>
        <v>0.3301</v>
      </c>
      <c r="P20" s="691" cm="1">
        <f t="array" ref="P20:Z20">'MEBU HPS DAILY'!L23:V23</f>
        <v>0.19620000000000001</v>
      </c>
      <c r="Q20" s="691">
        <v>0.21587800000000001</v>
      </c>
      <c r="R20" s="691">
        <v>0.227188</v>
      </c>
      <c r="S20" s="691">
        <v>0.23663299999999998</v>
      </c>
      <c r="T20" s="691">
        <v>0.25096199999999996</v>
      </c>
      <c r="U20" s="691">
        <v>0.25830900000000001</v>
      </c>
      <c r="V20" s="691">
        <v>0.26754899999999998</v>
      </c>
      <c r="W20" s="691">
        <v>0.27229699999999996</v>
      </c>
      <c r="X20" s="691">
        <v>0.27968899999999997</v>
      </c>
      <c r="Y20" s="691">
        <v>0.27610600000000002</v>
      </c>
      <c r="Z20" s="691">
        <v>0.28107100000000002</v>
      </c>
      <c r="AA20" s="684"/>
      <c r="AB20" s="691" cm="1">
        <f t="array" ref="AB20:AL20">'MEBU LTO DAILY'!H23:R23</f>
        <v>8.1000000000000003E-2</v>
      </c>
      <c r="AC20" s="691">
        <v>7.3492000000000002E-2</v>
      </c>
      <c r="AD20" s="691">
        <v>7.8723000000000001E-2</v>
      </c>
      <c r="AE20" s="691">
        <v>6.5491999999999995E-2</v>
      </c>
      <c r="AF20" s="691">
        <v>6.8976999999999997E-2</v>
      </c>
      <c r="AG20" s="691">
        <v>6.8360000000000004E-2</v>
      </c>
      <c r="AH20" s="691">
        <v>7.0559999999999998E-2</v>
      </c>
      <c r="AI20" s="691">
        <v>6.8092E-2</v>
      </c>
      <c r="AJ20" s="691">
        <v>7.2432999999999997E-2</v>
      </c>
      <c r="AK20" s="691">
        <v>5.4378999999999997E-2</v>
      </c>
      <c r="AL20" s="691">
        <v>7.4608000000000008E-2</v>
      </c>
    </row>
    <row r="21" spans="3:38" x14ac:dyDescent="0.25">
      <c r="C21" s="2" t="s">
        <v>382</v>
      </c>
      <c r="D21" s="683">
        <f>'MEBU HPS DAILY'!$G$18</f>
        <v>5.9859999999999998</v>
      </c>
      <c r="E21" s="683">
        <f>'MEBU HPS DAILY'!$G$18</f>
        <v>5.9859999999999998</v>
      </c>
      <c r="F21" s="683">
        <f>'MEBU HPS DAILY'!$G$18</f>
        <v>5.9859999999999998</v>
      </c>
      <c r="G21" s="683">
        <f>'MEBU HPS DAILY'!$G$18</f>
        <v>5.9859999999999998</v>
      </c>
      <c r="H21" s="683">
        <f>'MEBU HPS DAILY'!$G$18</f>
        <v>5.9859999999999998</v>
      </c>
      <c r="I21" s="683">
        <f>'MEBU HPS DAILY'!$G$18</f>
        <v>5.9859999999999998</v>
      </c>
      <c r="J21" s="683">
        <f>'MEBU HPS DAILY'!$G$18</f>
        <v>5.9859999999999998</v>
      </c>
      <c r="K21" s="683">
        <f>'MEBU HPS DAILY'!$G$18</f>
        <v>5.9859999999999998</v>
      </c>
      <c r="L21" s="683">
        <f>'MEBU HPS DAILY'!$G$18</f>
        <v>5.9859999999999998</v>
      </c>
      <c r="M21" s="683">
        <f>'MEBU HPS DAILY'!$G$18</f>
        <v>5.9859999999999998</v>
      </c>
      <c r="N21" s="683">
        <f>'MEBU HPS DAILY'!$G$18</f>
        <v>5.9859999999999998</v>
      </c>
      <c r="P21" s="691" cm="1">
        <f t="array" ref="P21:Z21">'MEBU HPS DAILY'!L18:V18</f>
        <v>0.83199999999999996</v>
      </c>
      <c r="Q21" s="691">
        <v>0.97499999999999998</v>
      </c>
      <c r="R21" s="691">
        <v>1.0900000000000001</v>
      </c>
      <c r="S21" s="691">
        <v>1.155</v>
      </c>
      <c r="T21" s="691">
        <v>1.246</v>
      </c>
      <c r="U21" s="691">
        <v>1.306</v>
      </c>
      <c r="V21" s="691">
        <v>1.3380000000000001</v>
      </c>
      <c r="W21" s="691">
        <v>1.28</v>
      </c>
      <c r="X21" s="691">
        <v>1.4179999999999999</v>
      </c>
      <c r="Y21" s="691">
        <v>1.427</v>
      </c>
      <c r="Z21" s="691">
        <v>1.419</v>
      </c>
      <c r="AA21" s="684"/>
      <c r="AB21" s="691" cm="1">
        <f t="array" ref="AB21:AL21">'MEBU LTO DAILY'!H18:R18</f>
        <v>0.18099999999999999</v>
      </c>
      <c r="AC21" s="691">
        <v>0.1149</v>
      </c>
      <c r="AD21" s="691">
        <v>0.113</v>
      </c>
      <c r="AE21" s="691">
        <v>9.3399999999999997E-2</v>
      </c>
      <c r="AF21" s="691">
        <v>0.25900000000000001</v>
      </c>
      <c r="AG21" s="691">
        <v>0.25069999999999998</v>
      </c>
      <c r="AH21" s="691">
        <v>0.28670000000000001</v>
      </c>
      <c r="AI21" s="691">
        <v>0.21529999999999999</v>
      </c>
      <c r="AJ21" s="691">
        <v>0.23400000000000001</v>
      </c>
      <c r="AK21" s="691">
        <v>0.23849999999999999</v>
      </c>
      <c r="AL21" s="691">
        <v>0.2482</v>
      </c>
    </row>
    <row r="22" spans="3:38" x14ac:dyDescent="0.25">
      <c r="P22" s="691"/>
      <c r="Q22" s="691"/>
      <c r="R22" s="691"/>
      <c r="S22" s="691"/>
      <c r="T22" s="691"/>
      <c r="U22" s="691"/>
      <c r="V22" s="691"/>
      <c r="W22" s="691"/>
      <c r="X22" s="691"/>
      <c r="Y22" s="691"/>
      <c r="Z22" s="691"/>
      <c r="AA22" s="684"/>
      <c r="AB22" s="683"/>
      <c r="AC22" s="683"/>
      <c r="AD22" s="683"/>
      <c r="AE22" s="683"/>
      <c r="AF22" s="683"/>
      <c r="AG22" s="683"/>
      <c r="AH22" s="683"/>
      <c r="AI22" s="683"/>
      <c r="AJ22" s="683"/>
      <c r="AK22" s="683"/>
      <c r="AL22" s="683"/>
    </row>
    <row r="23" spans="3:38" x14ac:dyDescent="0.25">
      <c r="C23" s="2" t="s">
        <v>246</v>
      </c>
      <c r="D23" s="683">
        <f>'MEBU HPS DAILY'!$G$83</f>
        <v>21.02</v>
      </c>
      <c r="E23" s="683">
        <f>'MEBU HPS DAILY'!$G$83</f>
        <v>21.02</v>
      </c>
      <c r="F23" s="683">
        <f>'MEBU HPS DAILY'!$G$83</f>
        <v>21.02</v>
      </c>
      <c r="G23" s="683">
        <f>'MEBU HPS DAILY'!$G$83</f>
        <v>21.02</v>
      </c>
      <c r="H23" s="683">
        <f>'MEBU HPS DAILY'!$G$83</f>
        <v>21.02</v>
      </c>
      <c r="I23" s="683">
        <f>'MEBU HPS DAILY'!$G$83</f>
        <v>21.02</v>
      </c>
      <c r="J23" s="683">
        <f>'MEBU HPS DAILY'!$G$83</f>
        <v>21.02</v>
      </c>
      <c r="K23" s="683">
        <f>'MEBU HPS DAILY'!$G$83</f>
        <v>21.02</v>
      </c>
      <c r="L23" s="683">
        <f>'MEBU HPS DAILY'!$G$83</f>
        <v>21.02</v>
      </c>
      <c r="M23" s="683">
        <f>'MEBU HPS DAILY'!$G$83</f>
        <v>21.02</v>
      </c>
      <c r="N23" s="683">
        <f>'MEBU HPS DAILY'!$G$83</f>
        <v>21.02</v>
      </c>
      <c r="O23" s="684"/>
      <c r="P23" s="691" cm="1">
        <f t="array" ref="P23:Z24">'MEBU HPS DAILY'!L83:V84</f>
        <v>3.9</v>
      </c>
      <c r="Q23" s="691">
        <v>4.7</v>
      </c>
      <c r="R23" s="691">
        <v>5.3</v>
      </c>
      <c r="S23" s="691">
        <v>5.6</v>
      </c>
      <c r="T23" s="691">
        <v>5.6</v>
      </c>
      <c r="U23" s="691">
        <v>6.1</v>
      </c>
      <c r="V23" s="691">
        <v>6.4</v>
      </c>
      <c r="W23" s="691">
        <v>6.2</v>
      </c>
      <c r="X23" s="691">
        <v>6.9</v>
      </c>
      <c r="Y23" s="691">
        <v>6.5</v>
      </c>
      <c r="Z23" s="691">
        <v>6.9</v>
      </c>
      <c r="AA23" s="684"/>
      <c r="AB23" s="683">
        <v>0</v>
      </c>
      <c r="AC23" s="683">
        <v>0</v>
      </c>
      <c r="AD23" s="683">
        <v>0</v>
      </c>
      <c r="AE23" s="683">
        <v>0</v>
      </c>
      <c r="AF23" s="683">
        <v>0</v>
      </c>
      <c r="AG23" s="683">
        <v>0</v>
      </c>
      <c r="AH23" s="683">
        <v>0</v>
      </c>
      <c r="AI23" s="683">
        <v>0</v>
      </c>
      <c r="AJ23" s="683">
        <v>0</v>
      </c>
      <c r="AK23" s="683">
        <v>0</v>
      </c>
      <c r="AL23" s="683">
        <v>0</v>
      </c>
    </row>
    <row r="24" spans="3:38" x14ac:dyDescent="0.25">
      <c r="C24" s="2" t="s">
        <v>247</v>
      </c>
      <c r="D24" s="683">
        <f>'MEBU HPS DAILY'!$G$84</f>
        <v>12.86</v>
      </c>
      <c r="E24" s="683">
        <f>'MEBU HPS DAILY'!$G$84</f>
        <v>12.86</v>
      </c>
      <c r="F24" s="683">
        <f>'MEBU HPS DAILY'!$G$84</f>
        <v>12.86</v>
      </c>
      <c r="G24" s="683">
        <f>'MEBU HPS DAILY'!$G$84</f>
        <v>12.86</v>
      </c>
      <c r="H24" s="683">
        <f>'MEBU HPS DAILY'!$G$84</f>
        <v>12.86</v>
      </c>
      <c r="I24" s="683">
        <f>'MEBU HPS DAILY'!$G$84</f>
        <v>12.86</v>
      </c>
      <c r="J24" s="683">
        <f>'MEBU HPS DAILY'!$G$84</f>
        <v>12.86</v>
      </c>
      <c r="K24" s="683">
        <f>'MEBU HPS DAILY'!$G$84</f>
        <v>12.86</v>
      </c>
      <c r="L24" s="683">
        <f>'MEBU HPS DAILY'!$G$84</f>
        <v>12.86</v>
      </c>
      <c r="M24" s="683">
        <f>'MEBU HPS DAILY'!$G$84</f>
        <v>12.86</v>
      </c>
      <c r="N24" s="683">
        <f>'MEBU HPS DAILY'!$G$84</f>
        <v>12.86</v>
      </c>
      <c r="O24" s="684"/>
      <c r="P24" s="691">
        <v>1.1000000000000001</v>
      </c>
      <c r="Q24" s="691">
        <v>1.6</v>
      </c>
      <c r="R24" s="691">
        <v>1.5</v>
      </c>
      <c r="S24" s="691">
        <v>1.8</v>
      </c>
      <c r="T24" s="691">
        <v>2.1</v>
      </c>
      <c r="U24" s="691">
        <v>2.2999999999999998</v>
      </c>
      <c r="V24" s="691">
        <v>2.7</v>
      </c>
      <c r="W24" s="691">
        <v>2.4</v>
      </c>
      <c r="X24" s="691">
        <v>2.6</v>
      </c>
      <c r="Y24" s="691">
        <v>2.4</v>
      </c>
      <c r="Z24" s="691">
        <v>2.5</v>
      </c>
      <c r="AA24" s="684"/>
      <c r="AB24" s="683">
        <v>0</v>
      </c>
      <c r="AC24" s="683">
        <v>0</v>
      </c>
      <c r="AD24" s="683">
        <v>0</v>
      </c>
      <c r="AE24" s="683">
        <v>0</v>
      </c>
      <c r="AF24" s="683">
        <v>0</v>
      </c>
      <c r="AG24" s="683">
        <v>0</v>
      </c>
      <c r="AH24" s="683">
        <v>0</v>
      </c>
      <c r="AI24" s="683">
        <v>0</v>
      </c>
      <c r="AJ24" s="683">
        <v>0</v>
      </c>
      <c r="AK24" s="683">
        <v>0</v>
      </c>
      <c r="AL24" s="683">
        <v>0</v>
      </c>
    </row>
    <row r="25" spans="3:38" x14ac:dyDescent="0.25">
      <c r="D25" s="683"/>
      <c r="E25" s="683"/>
      <c r="F25" s="683"/>
      <c r="G25" s="683"/>
      <c r="H25" s="683"/>
      <c r="I25" s="683"/>
      <c r="J25" s="683"/>
      <c r="K25" s="683"/>
      <c r="L25" s="683"/>
      <c r="M25" s="683"/>
      <c r="N25" s="683"/>
      <c r="O25" s="684"/>
      <c r="P25" s="691"/>
      <c r="Q25" s="691"/>
      <c r="R25" s="691"/>
      <c r="S25" s="691"/>
      <c r="T25" s="691"/>
      <c r="U25" s="691"/>
      <c r="V25" s="691"/>
      <c r="W25" s="691"/>
      <c r="X25" s="691"/>
      <c r="Y25" s="691"/>
      <c r="Z25" s="691"/>
      <c r="AA25" s="684"/>
      <c r="AB25" s="683"/>
      <c r="AC25" s="683"/>
      <c r="AD25" s="683"/>
      <c r="AE25" s="683"/>
      <c r="AF25" s="683"/>
      <c r="AG25" s="683"/>
      <c r="AH25" s="683"/>
      <c r="AI25" s="683"/>
      <c r="AJ25" s="683"/>
      <c r="AK25" s="683"/>
      <c r="AL25" s="683"/>
    </row>
    <row r="26" spans="3:38" x14ac:dyDescent="0.25">
      <c r="C26" s="2" t="s">
        <v>112</v>
      </c>
      <c r="D26" s="691">
        <f>'MEBU HPS DAILY'!$G$85</f>
        <v>26.05</v>
      </c>
      <c r="E26" s="691">
        <f>'MEBU HPS DAILY'!$G$85</f>
        <v>26.05</v>
      </c>
      <c r="F26" s="691">
        <f>'MEBU HPS DAILY'!$G$85</f>
        <v>26.05</v>
      </c>
      <c r="G26" s="691">
        <f>'MEBU HPS DAILY'!$G$85</f>
        <v>26.05</v>
      </c>
      <c r="H26" s="691">
        <f>'MEBU HPS DAILY'!$G$85</f>
        <v>26.05</v>
      </c>
      <c r="I26" s="691">
        <f>'MEBU HPS DAILY'!$G$85</f>
        <v>26.05</v>
      </c>
      <c r="J26" s="691">
        <f>'MEBU HPS DAILY'!$G$85</f>
        <v>26.05</v>
      </c>
      <c r="K26" s="691">
        <f>'MEBU HPS DAILY'!$G$85</f>
        <v>26.05</v>
      </c>
      <c r="L26" s="691">
        <f>'MEBU HPS DAILY'!$G$85</f>
        <v>26.05</v>
      </c>
      <c r="M26" s="691">
        <f>'MEBU HPS DAILY'!$G$85</f>
        <v>26.05</v>
      </c>
      <c r="N26" s="691">
        <f>'MEBU HPS DAILY'!$G$85</f>
        <v>26.05</v>
      </c>
      <c r="O26" s="684"/>
      <c r="P26" s="691" cm="1">
        <f t="array" ref="P26:Z26">'MEBU HPS DAILY'!L85:V85</f>
        <v>7.1074999999999999</v>
      </c>
      <c r="Q26" s="691">
        <v>7.51</v>
      </c>
      <c r="R26" s="691">
        <v>8.2274499999999993</v>
      </c>
      <c r="S26" s="691">
        <v>8.8035999999999994</v>
      </c>
      <c r="T26" s="691">
        <v>9.2672000000000008</v>
      </c>
      <c r="U26" s="691">
        <v>9.29115</v>
      </c>
      <c r="V26" s="691">
        <v>9.2227999999999994</v>
      </c>
      <c r="W26" s="691">
        <v>9.14</v>
      </c>
      <c r="X26" s="691">
        <v>9.6180000000000003</v>
      </c>
      <c r="Y26" s="691">
        <v>9.3308</v>
      </c>
      <c r="Z26" s="691">
        <v>9.68</v>
      </c>
      <c r="AA26" s="684"/>
      <c r="AB26" s="683">
        <v>0</v>
      </c>
      <c r="AC26" s="683">
        <v>0</v>
      </c>
      <c r="AD26" s="683">
        <v>0</v>
      </c>
      <c r="AE26" s="683">
        <v>0</v>
      </c>
      <c r="AF26" s="683">
        <v>0</v>
      </c>
      <c r="AG26" s="683">
        <v>0</v>
      </c>
      <c r="AH26" s="683">
        <v>0</v>
      </c>
      <c r="AI26" s="683">
        <v>0</v>
      </c>
      <c r="AJ26" s="683">
        <v>0</v>
      </c>
      <c r="AK26" s="683">
        <v>0</v>
      </c>
      <c r="AL26" s="683">
        <v>0</v>
      </c>
    </row>
    <row r="27" spans="3:38" x14ac:dyDescent="0.25">
      <c r="P27" s="690"/>
      <c r="Q27" s="690"/>
      <c r="R27" s="690"/>
      <c r="S27" s="690"/>
      <c r="T27" s="690"/>
      <c r="U27" s="690"/>
      <c r="V27" s="690"/>
      <c r="W27" s="690"/>
      <c r="X27" s="690"/>
      <c r="Y27" s="690"/>
      <c r="Z27" s="690"/>
    </row>
    <row r="28" spans="3:38" x14ac:dyDescent="0.25">
      <c r="C28" s="2" t="s">
        <v>383</v>
      </c>
      <c r="D28" s="691" cm="1">
        <f t="array" ref="D28:D30">'MEBU HPS DAILY'!$G$25:$G$27</f>
        <v>84.31</v>
      </c>
      <c r="E28" s="691" cm="1">
        <f t="array" ref="E28:E30">'MEBU HPS DAILY'!$G$25:$G$27</f>
        <v>84.31</v>
      </c>
      <c r="F28" s="691" cm="1">
        <f t="array" ref="F28:F30">'MEBU HPS DAILY'!$G$25:$G$27</f>
        <v>84.31</v>
      </c>
      <c r="G28" s="691" cm="1">
        <f t="array" ref="G28:G30">'MEBU HPS DAILY'!$G$25:$G$27</f>
        <v>84.31</v>
      </c>
      <c r="H28" s="691" cm="1">
        <f t="array" ref="H28:H30">'MEBU HPS DAILY'!$G$25:$G$27</f>
        <v>84.31</v>
      </c>
      <c r="I28" s="691" cm="1">
        <f t="array" ref="I28:I30">'MEBU HPS DAILY'!$G$25:$G$27</f>
        <v>84.31</v>
      </c>
      <c r="J28" s="691" cm="1">
        <f t="array" ref="J28:J30">'MEBU HPS DAILY'!$G$25:$G$27</f>
        <v>84.31</v>
      </c>
      <c r="K28" s="691" cm="1">
        <f t="array" ref="K28:K30">'MEBU HPS DAILY'!$G$25:$G$27</f>
        <v>84.31</v>
      </c>
      <c r="L28" s="691" cm="1">
        <f t="array" ref="L28:L30">'MEBU HPS DAILY'!$G$25:$G$27</f>
        <v>84.31</v>
      </c>
      <c r="M28" s="691" cm="1">
        <f t="array" ref="M28:M30">'MEBU HPS DAILY'!$G$25:$G$27</f>
        <v>84.31</v>
      </c>
      <c r="N28" s="691" cm="1">
        <f t="array" ref="N28:N30">'MEBU HPS DAILY'!$G$25:$G$27</f>
        <v>84.31</v>
      </c>
      <c r="P28" s="690" cm="1">
        <f t="array" ref="P28:Z30">'MEBU HPS DAILY'!L25:V27</f>
        <v>88.11</v>
      </c>
      <c r="Q28" s="690">
        <v>88.14</v>
      </c>
      <c r="R28" s="690">
        <v>87.88</v>
      </c>
      <c r="S28" s="690">
        <v>87.49</v>
      </c>
      <c r="T28" s="690">
        <v>87.66</v>
      </c>
      <c r="U28" s="690">
        <v>87.51</v>
      </c>
      <c r="V28" s="690">
        <v>87.78</v>
      </c>
      <c r="W28" s="690">
        <v>87.97</v>
      </c>
      <c r="X28" s="690">
        <v>88.01</v>
      </c>
      <c r="Y28" s="690">
        <v>87.81</v>
      </c>
      <c r="Z28" s="690">
        <v>86.8</v>
      </c>
      <c r="AB28" s="691" cm="1">
        <f t="array" ref="AB28:AL30">'MEBU LTO DAILY'!H25:R27</f>
        <v>86.73</v>
      </c>
      <c r="AC28" s="691">
        <v>86.7</v>
      </c>
      <c r="AD28" s="691">
        <v>86.31</v>
      </c>
      <c r="AE28" s="691">
        <v>84.06</v>
      </c>
      <c r="AF28" s="691">
        <v>84.66</v>
      </c>
      <c r="AG28" s="691">
        <v>85.42</v>
      </c>
      <c r="AH28" s="691">
        <v>84.56</v>
      </c>
      <c r="AI28" s="691">
        <v>84.67</v>
      </c>
      <c r="AJ28" s="691">
        <v>84.65</v>
      </c>
      <c r="AK28" s="691">
        <v>85.81</v>
      </c>
      <c r="AL28" s="691">
        <v>84.46</v>
      </c>
    </row>
    <row r="29" spans="3:38" x14ac:dyDescent="0.25">
      <c r="C29" s="2" t="s">
        <v>384</v>
      </c>
      <c r="D29" s="691">
        <v>9.782</v>
      </c>
      <c r="E29" s="691">
        <v>9.782</v>
      </c>
      <c r="F29" s="691">
        <v>9.782</v>
      </c>
      <c r="G29" s="691">
        <v>9.782</v>
      </c>
      <c r="H29" s="691">
        <v>9.782</v>
      </c>
      <c r="I29" s="691">
        <v>9.782</v>
      </c>
      <c r="J29" s="691">
        <v>9.782</v>
      </c>
      <c r="K29" s="691">
        <v>9.782</v>
      </c>
      <c r="L29" s="691">
        <v>9.782</v>
      </c>
      <c r="M29" s="691">
        <v>9.782</v>
      </c>
      <c r="N29" s="691">
        <v>9.782</v>
      </c>
      <c r="P29" s="690">
        <v>11.45</v>
      </c>
      <c r="Q29" s="690">
        <v>11.27</v>
      </c>
      <c r="R29" s="690">
        <v>11.41</v>
      </c>
      <c r="S29" s="690">
        <v>11.41</v>
      </c>
      <c r="T29" s="690">
        <v>11.2</v>
      </c>
      <c r="U29" s="690">
        <v>11.33</v>
      </c>
      <c r="V29" s="690">
        <v>11.32</v>
      </c>
      <c r="W29" s="690">
        <v>11.23</v>
      </c>
      <c r="X29" s="690">
        <v>11.26</v>
      </c>
      <c r="Y29" s="690">
        <v>11.39</v>
      </c>
      <c r="Z29" s="690">
        <v>10.94</v>
      </c>
      <c r="AB29" s="691">
        <v>13.23</v>
      </c>
      <c r="AC29" s="691">
        <v>13.17</v>
      </c>
      <c r="AD29" s="691">
        <v>13.46</v>
      </c>
      <c r="AE29" s="691">
        <v>13.55</v>
      </c>
      <c r="AF29" s="691">
        <v>13.56</v>
      </c>
      <c r="AG29" s="691">
        <v>13.52</v>
      </c>
      <c r="AH29" s="691">
        <v>13.55</v>
      </c>
      <c r="AI29" s="691">
        <v>13.35</v>
      </c>
      <c r="AJ29" s="691">
        <v>12.94</v>
      </c>
      <c r="AK29" s="691">
        <v>13.74</v>
      </c>
      <c r="AL29" s="691">
        <v>13.48</v>
      </c>
    </row>
    <row r="30" spans="3:38" x14ac:dyDescent="0.25">
      <c r="C30" s="2" t="s">
        <v>385</v>
      </c>
      <c r="D30" s="691">
        <v>0.45190000000000002</v>
      </c>
      <c r="E30" s="691">
        <v>0.45190000000000002</v>
      </c>
      <c r="F30" s="691">
        <v>0.45190000000000002</v>
      </c>
      <c r="G30" s="691">
        <v>0.45190000000000002</v>
      </c>
      <c r="H30" s="691">
        <v>0.45190000000000002</v>
      </c>
      <c r="I30" s="691">
        <v>0.45190000000000002</v>
      </c>
      <c r="J30" s="691">
        <v>0.45190000000000002</v>
      </c>
      <c r="K30" s="691">
        <v>0.45190000000000002</v>
      </c>
      <c r="L30" s="691">
        <v>0.45190000000000002</v>
      </c>
      <c r="M30" s="691">
        <v>0.45190000000000002</v>
      </c>
      <c r="N30" s="691">
        <v>0.45190000000000002</v>
      </c>
      <c r="P30" s="690">
        <v>0.26750000000000002</v>
      </c>
      <c r="Q30" s="690">
        <v>0.30330000000000001</v>
      </c>
      <c r="R30" s="690">
        <v>0.2964</v>
      </c>
      <c r="S30" s="690">
        <v>0.34360000000000002</v>
      </c>
      <c r="T30" s="690">
        <v>0.35289999999999999</v>
      </c>
      <c r="U30" s="690">
        <v>0.33550000000000002</v>
      </c>
      <c r="V30" s="690">
        <v>0.32500000000000001</v>
      </c>
      <c r="W30" s="690">
        <v>0.33189999999999997</v>
      </c>
      <c r="X30" s="690">
        <v>0.32819999999999999</v>
      </c>
      <c r="Y30" s="690">
        <v>0.34379999999999999</v>
      </c>
      <c r="Z30" s="690">
        <v>0.31609999999999999</v>
      </c>
      <c r="AB30" s="691">
        <v>8.0879999999999994E-2</v>
      </c>
      <c r="AC30" s="691">
        <v>9.3880000000000005E-2</v>
      </c>
      <c r="AD30" s="691">
        <v>7.1330000000000005E-2</v>
      </c>
      <c r="AE30" s="691">
        <v>0.11700000000000001</v>
      </c>
      <c r="AF30" s="691">
        <v>9.2079999999999995E-2</v>
      </c>
      <c r="AG30" s="691">
        <v>0.10049</v>
      </c>
      <c r="AH30" s="691">
        <v>6.3619999999999996E-2</v>
      </c>
      <c r="AI30" s="691">
        <v>6.7309999999999995E-2</v>
      </c>
      <c r="AJ30" s="691">
        <v>4.6940000000000003E-2</v>
      </c>
      <c r="AK30" s="691">
        <v>5.3969999999999997E-2</v>
      </c>
      <c r="AL30" s="691">
        <v>8.906E-2</v>
      </c>
    </row>
    <row r="31" spans="3:38" x14ac:dyDescent="0.25">
      <c r="C31" s="2" t="s">
        <v>386</v>
      </c>
      <c r="D31" s="691">
        <f>$D$21</f>
        <v>5.9859999999999998</v>
      </c>
      <c r="E31" s="691">
        <f t="shared" ref="E31:N31" si="0">$D$21</f>
        <v>5.9859999999999998</v>
      </c>
      <c r="F31" s="691">
        <f t="shared" si="0"/>
        <v>5.9859999999999998</v>
      </c>
      <c r="G31" s="691">
        <f t="shared" si="0"/>
        <v>5.9859999999999998</v>
      </c>
      <c r="H31" s="691">
        <f t="shared" si="0"/>
        <v>5.9859999999999998</v>
      </c>
      <c r="I31" s="691">
        <f t="shared" si="0"/>
        <v>5.9859999999999998</v>
      </c>
      <c r="J31" s="691">
        <f t="shared" si="0"/>
        <v>5.9859999999999998</v>
      </c>
      <c r="K31" s="691">
        <f t="shared" si="0"/>
        <v>5.9859999999999998</v>
      </c>
      <c r="L31" s="691">
        <f t="shared" si="0"/>
        <v>5.9859999999999998</v>
      </c>
      <c r="M31" s="691">
        <f t="shared" si="0"/>
        <v>5.9859999999999998</v>
      </c>
      <c r="N31" s="691">
        <f t="shared" si="0"/>
        <v>5.9859999999999998</v>
      </c>
      <c r="P31" s="691" cm="1">
        <f t="array" ref="P31:Z31">_xlfn.ANCHORARRAY(P21)</f>
        <v>0.83199999999999996</v>
      </c>
      <c r="Q31" s="691">
        <v>0.97499999999999998</v>
      </c>
      <c r="R31" s="691">
        <v>1.0900000000000001</v>
      </c>
      <c r="S31" s="691">
        <v>1.155</v>
      </c>
      <c r="T31" s="691">
        <v>1.246</v>
      </c>
      <c r="U31" s="691">
        <v>1.306</v>
      </c>
      <c r="V31" s="691">
        <v>1.3380000000000001</v>
      </c>
      <c r="W31" s="691">
        <v>1.28</v>
      </c>
      <c r="X31" s="691">
        <v>1.4179999999999999</v>
      </c>
      <c r="Y31" s="691">
        <v>1.427</v>
      </c>
      <c r="Z31" s="691">
        <v>1.419</v>
      </c>
      <c r="AB31" s="691">
        <f>AB21</f>
        <v>0.18099999999999999</v>
      </c>
      <c r="AC31" s="691">
        <f t="shared" ref="AC31:AK31" si="1">AC21</f>
        <v>0.1149</v>
      </c>
      <c r="AD31" s="691">
        <f t="shared" si="1"/>
        <v>0.113</v>
      </c>
      <c r="AE31" s="691">
        <f t="shared" si="1"/>
        <v>9.3399999999999997E-2</v>
      </c>
      <c r="AF31" s="691">
        <f t="shared" si="1"/>
        <v>0.25900000000000001</v>
      </c>
      <c r="AG31" s="691">
        <f t="shared" si="1"/>
        <v>0.25069999999999998</v>
      </c>
      <c r="AH31" s="691">
        <f t="shared" si="1"/>
        <v>0.28670000000000001</v>
      </c>
      <c r="AI31" s="691">
        <f t="shared" si="1"/>
        <v>0.21529999999999999</v>
      </c>
      <c r="AJ31" s="691">
        <f t="shared" si="1"/>
        <v>0.23400000000000001</v>
      </c>
      <c r="AK31" s="691">
        <f t="shared" si="1"/>
        <v>0.23849999999999999</v>
      </c>
      <c r="AL31" s="691"/>
    </row>
    <row r="32" spans="3:38" x14ac:dyDescent="0.25">
      <c r="D32" s="691"/>
      <c r="E32" s="691"/>
      <c r="F32" s="691"/>
      <c r="G32" s="691"/>
      <c r="H32" s="691"/>
      <c r="I32" s="691"/>
      <c r="J32" s="691"/>
      <c r="K32" s="691"/>
      <c r="L32" s="691"/>
      <c r="M32" s="691"/>
      <c r="N32" s="691"/>
    </row>
    <row r="33" spans="2:64" ht="18" x14ac:dyDescent="0.35">
      <c r="C33" s="2" t="s">
        <v>325</v>
      </c>
      <c r="D33" s="691" cm="1">
        <f t="array" ref="D33:D34">'MEBU HPS DAILY'!$G$29:$G$30</f>
        <v>83.974158353580975</v>
      </c>
      <c r="E33" s="691" cm="1">
        <f t="array" ref="E33:E34">'MEBU HPS DAILY'!$G$29:$G$30</f>
        <v>83.974158353580975</v>
      </c>
      <c r="F33" s="691" cm="1">
        <f t="array" ref="F33:F34">'MEBU HPS DAILY'!$G$29:$G$30</f>
        <v>83.974158353580975</v>
      </c>
      <c r="G33" s="691" cm="1">
        <f t="array" ref="G33:G34">'MEBU HPS DAILY'!$G$29:$G$30</f>
        <v>83.974158353580975</v>
      </c>
      <c r="H33" s="691" cm="1">
        <f t="array" ref="H33:H34">'MEBU HPS DAILY'!$G$29:$G$30</f>
        <v>83.974158353580975</v>
      </c>
      <c r="I33" s="691" cm="1">
        <f t="array" ref="I33:I34">'MEBU HPS DAILY'!$G$29:$G$30</f>
        <v>83.974158353580975</v>
      </c>
      <c r="J33" s="691" cm="1">
        <f t="array" ref="J33:J34">'MEBU HPS DAILY'!$G$29:$G$30</f>
        <v>83.974158353580975</v>
      </c>
      <c r="K33" s="691" cm="1">
        <f t="array" ref="K33:K34">'MEBU HPS DAILY'!$G$29:$G$30</f>
        <v>83.974158353580975</v>
      </c>
      <c r="L33" s="691" cm="1">
        <f t="array" ref="L33:L34">'MEBU HPS DAILY'!$G$29:$G$30</f>
        <v>83.974158353580975</v>
      </c>
      <c r="M33" s="691" cm="1">
        <f t="array" ref="M33:M34">'MEBU HPS DAILY'!$G$29:$G$30</f>
        <v>83.974158353580975</v>
      </c>
      <c r="N33" s="691" cm="1">
        <f t="array" ref="N33:N34">'MEBU HPS DAILY'!$G$29:$G$30</f>
        <v>83.974158353580975</v>
      </c>
      <c r="P33" s="691" cm="1">
        <f t="array" ref="P33:Z34">'MEBU HPS DAILY'!L29:V30</f>
        <v>87.595408352226443</v>
      </c>
      <c r="Q33" s="691">
        <v>87.614460732865624</v>
      </c>
      <c r="R33" s="691">
        <v>87.350420198306395</v>
      </c>
      <c r="S33" s="691">
        <v>87.236900034259193</v>
      </c>
      <c r="T33" s="691">
        <v>87.34954223935469</v>
      </c>
      <c r="U33" s="691">
        <v>87.158673605065914</v>
      </c>
      <c r="V33" s="691">
        <v>87.165813328461269</v>
      </c>
      <c r="W33" s="691">
        <v>87.313953614535023</v>
      </c>
      <c r="X33" s="691">
        <v>87.167215251711738</v>
      </c>
      <c r="Y33" s="691">
        <v>87.025081977349373</v>
      </c>
      <c r="Z33" s="691">
        <v>87.289289699352395</v>
      </c>
      <c r="AB33" s="691" cm="1">
        <f t="array" ref="AB33:AL34">'MEBU LTO DAILY'!H29:R30</f>
        <v>86.537885621735441</v>
      </c>
      <c r="AC33" s="691">
        <v>86.649436978774915</v>
      </c>
      <c r="AD33" s="691">
        <v>86.343037256916389</v>
      </c>
      <c r="AE33" s="691">
        <v>85.978341711583411</v>
      </c>
      <c r="AF33" s="691">
        <v>85.907462370684101</v>
      </c>
      <c r="AG33" s="691">
        <v>86.05772524685834</v>
      </c>
      <c r="AH33" s="691">
        <v>85.876237742649593</v>
      </c>
      <c r="AI33" s="691">
        <v>86.131308727016659</v>
      </c>
      <c r="AJ33" s="691">
        <v>86.4688611945774</v>
      </c>
      <c r="AK33" s="691">
        <v>85.945036666889166</v>
      </c>
      <c r="AL33" s="691">
        <v>85.953213281316124</v>
      </c>
    </row>
    <row r="34" spans="2:64" ht="18" x14ac:dyDescent="0.35">
      <c r="C34" s="2" t="s">
        <v>326</v>
      </c>
      <c r="D34" s="691">
        <v>9.7430342428505412</v>
      </c>
      <c r="E34" s="691">
        <v>9.7430342428505412</v>
      </c>
      <c r="F34" s="691">
        <v>9.7430342428505412</v>
      </c>
      <c r="G34" s="691">
        <v>9.7430342428505412</v>
      </c>
      <c r="H34" s="691">
        <v>9.7430342428505412</v>
      </c>
      <c r="I34" s="691">
        <v>9.7430342428505412</v>
      </c>
      <c r="J34" s="691">
        <v>9.7430342428505412</v>
      </c>
      <c r="K34" s="691">
        <v>9.7430342428505412</v>
      </c>
      <c r="L34" s="691">
        <v>9.7430342428505412</v>
      </c>
      <c r="M34" s="691">
        <v>9.7430342428505412</v>
      </c>
      <c r="N34" s="691">
        <v>9.7430342428505412</v>
      </c>
      <c r="P34" s="691">
        <v>11.383128199216806</v>
      </c>
      <c r="Q34" s="691">
        <v>11.202802047417693</v>
      </c>
      <c r="R34" s="691">
        <v>11.341241402624899</v>
      </c>
      <c r="S34" s="691">
        <v>11.376991992123642</v>
      </c>
      <c r="T34" s="691">
        <v>11.160333938863479</v>
      </c>
      <c r="U34" s="691">
        <v>11.284513449267475</v>
      </c>
      <c r="V34" s="691">
        <v>11.240795248099586</v>
      </c>
      <c r="W34" s="691">
        <v>11.146250984326798</v>
      </c>
      <c r="X34" s="691">
        <v>11.152174113558393</v>
      </c>
      <c r="Y34" s="691">
        <v>11.288186809270121</v>
      </c>
      <c r="Z34" s="691">
        <v>11.001668540448332</v>
      </c>
      <c r="AB34" s="691">
        <v>13.200694416874899</v>
      </c>
      <c r="AC34" s="691">
        <v>13.162319319613214</v>
      </c>
      <c r="AD34" s="691">
        <v>13.465152143182651</v>
      </c>
      <c r="AE34" s="691">
        <v>13.859225912347791</v>
      </c>
      <c r="AF34" s="691">
        <v>13.759806162845223</v>
      </c>
      <c r="AG34" s="691">
        <v>13.62093707957767</v>
      </c>
      <c r="AH34" s="691">
        <v>13.760915579622777</v>
      </c>
      <c r="AI34" s="691">
        <v>13.580405946683268</v>
      </c>
      <c r="AJ34" s="691">
        <v>13.218039738426834</v>
      </c>
      <c r="AK34" s="691">
        <v>13.761622232875622</v>
      </c>
      <c r="AL34" s="691">
        <v>13.718320092731961</v>
      </c>
    </row>
    <row r="35" spans="2:64" ht="18" x14ac:dyDescent="0.35">
      <c r="C35" s="2" t="s">
        <v>327</v>
      </c>
      <c r="D35" s="691">
        <f>'MEBU HPS DAILY'!$G$32</f>
        <v>5.9544473833158102</v>
      </c>
      <c r="E35" s="691">
        <f>'MEBU HPS DAILY'!$G$32</f>
        <v>5.9544473833158102</v>
      </c>
      <c r="F35" s="691">
        <f>'MEBU HPS DAILY'!$G$32</f>
        <v>5.9544473833158102</v>
      </c>
      <c r="G35" s="691">
        <f>'MEBU HPS DAILY'!$G$32</f>
        <v>5.9544473833158102</v>
      </c>
      <c r="H35" s="691">
        <f>'MEBU HPS DAILY'!$G$32</f>
        <v>5.9544473833158102</v>
      </c>
      <c r="I35" s="691">
        <f>'MEBU HPS DAILY'!$G$32</f>
        <v>5.9544473833158102</v>
      </c>
      <c r="J35" s="691">
        <f>'MEBU HPS DAILY'!$G$32</f>
        <v>5.9544473833158102</v>
      </c>
      <c r="K35" s="691">
        <f>'MEBU HPS DAILY'!$G$32</f>
        <v>5.9544473833158102</v>
      </c>
      <c r="L35" s="691">
        <f>'MEBU HPS DAILY'!$G$32</f>
        <v>5.9544473833158102</v>
      </c>
      <c r="M35" s="691">
        <f>'MEBU HPS DAILY'!$G$32</f>
        <v>5.9544473833158102</v>
      </c>
      <c r="N35" s="691">
        <f>'MEBU HPS DAILY'!$G$32</f>
        <v>5.9544473833158102</v>
      </c>
      <c r="P35" s="691" cm="1">
        <f t="array" ref="P35:Z35">'MEBU HPS DAILY'!L32:V32</f>
        <v>0.82654890993895269</v>
      </c>
      <c r="Q35" s="691">
        <v>0.96833495053546459</v>
      </c>
      <c r="R35" s="691">
        <v>1.0826767742986441</v>
      </c>
      <c r="S35" s="691">
        <v>1.1504144480102314</v>
      </c>
      <c r="T35" s="691">
        <v>1.2403082255529374</v>
      </c>
      <c r="U35" s="691">
        <v>1.2997417435050234</v>
      </c>
      <c r="V35" s="691">
        <v>1.3278683643797824</v>
      </c>
      <c r="W35" s="691">
        <v>1.269691375720525</v>
      </c>
      <c r="X35" s="691">
        <v>1.4037352424660596</v>
      </c>
      <c r="Y35" s="691">
        <v>1.4132798789352961</v>
      </c>
      <c r="Z35" s="691">
        <v>1.4264876335887071</v>
      </c>
      <c r="AB35" s="691" cm="1">
        <f t="array" ref="AB35:AL35">'MEBU LTO DAILY'!H32:R32</f>
        <v>0.18059928630354966</v>
      </c>
      <c r="AC35" s="691">
        <v>0.11480955303411972</v>
      </c>
      <c r="AD35" s="691">
        <v>0.11305163067973142</v>
      </c>
      <c r="AE35" s="691">
        <v>9.5481106190528756E-2</v>
      </c>
      <c r="AF35" s="691">
        <v>0.26275455234943151</v>
      </c>
      <c r="AG35" s="691">
        <v>0.25248967204441802</v>
      </c>
      <c r="AH35" s="691">
        <v>0.29118329089322481</v>
      </c>
      <c r="AI35" s="691">
        <v>0.2190175825443495</v>
      </c>
      <c r="AJ35" s="691">
        <v>0.23909037759318549</v>
      </c>
      <c r="AK35" s="691">
        <v>0.23887630183828581</v>
      </c>
      <c r="AL35" s="691">
        <v>0.25255079354064208</v>
      </c>
    </row>
    <row r="36" spans="2:64" x14ac:dyDescent="0.25">
      <c r="AN36" s="815" t="s">
        <v>47</v>
      </c>
      <c r="AO36" s="815"/>
      <c r="AP36" s="815"/>
      <c r="AQ36" s="815"/>
      <c r="AR36" s="815"/>
      <c r="AS36" s="815"/>
      <c r="AT36" s="815"/>
      <c r="AU36" s="815"/>
      <c r="AV36" s="815"/>
      <c r="AW36" s="815"/>
      <c r="AX36" s="3"/>
      <c r="AZ36" s="815" t="s">
        <v>374</v>
      </c>
      <c r="BA36" s="815"/>
      <c r="BB36" s="815"/>
      <c r="BC36" s="815"/>
      <c r="BD36" s="815"/>
      <c r="BE36" s="815"/>
      <c r="BF36" s="815"/>
      <c r="BG36" s="815"/>
      <c r="BH36" s="815"/>
      <c r="BI36" s="815"/>
      <c r="BJ36" s="3"/>
    </row>
    <row r="37" spans="2:64" x14ac:dyDescent="0.25">
      <c r="C37" s="2" t="s">
        <v>164</v>
      </c>
      <c r="D37" s="683">
        <v>0</v>
      </c>
      <c r="E37" s="683">
        <v>0</v>
      </c>
      <c r="F37" s="683">
        <v>0</v>
      </c>
      <c r="G37" s="683">
        <v>0</v>
      </c>
      <c r="H37" s="683">
        <v>0</v>
      </c>
      <c r="I37" s="683">
        <v>0</v>
      </c>
      <c r="J37" s="683">
        <v>0</v>
      </c>
      <c r="K37" s="683">
        <v>0</v>
      </c>
      <c r="L37" s="683">
        <v>0</v>
      </c>
      <c r="M37" s="683">
        <v>0</v>
      </c>
      <c r="N37" s="683">
        <v>0</v>
      </c>
      <c r="P37" s="683">
        <v>0</v>
      </c>
      <c r="Q37" s="683">
        <v>0</v>
      </c>
      <c r="R37" s="683">
        <v>0</v>
      </c>
      <c r="S37" s="683">
        <v>0</v>
      </c>
      <c r="T37" s="683">
        <v>0</v>
      </c>
      <c r="U37" s="683">
        <v>0</v>
      </c>
      <c r="V37" s="683">
        <v>0</v>
      </c>
      <c r="W37" s="683">
        <v>0</v>
      </c>
      <c r="X37" s="683">
        <v>0</v>
      </c>
      <c r="Y37" s="683">
        <v>0</v>
      </c>
      <c r="Z37" s="683">
        <v>0</v>
      </c>
      <c r="AB37" s="683">
        <v>0</v>
      </c>
      <c r="AC37" s="683">
        <v>0</v>
      </c>
      <c r="AD37" s="683">
        <v>0</v>
      </c>
      <c r="AE37" s="683">
        <v>0</v>
      </c>
      <c r="AF37" s="683">
        <v>0</v>
      </c>
      <c r="AG37" s="683">
        <v>0</v>
      </c>
      <c r="AH37" s="683">
        <v>0</v>
      </c>
      <c r="AI37" s="683">
        <v>0</v>
      </c>
      <c r="AJ37" s="683">
        <v>0</v>
      </c>
      <c r="AK37" s="683">
        <v>0</v>
      </c>
      <c r="AL37" s="683">
        <v>0</v>
      </c>
      <c r="AN37" s="683" cm="1">
        <f t="array" ref="AN37:AN43">'MEBU HPS DAILY'!L101:L107</f>
        <v>27.4</v>
      </c>
      <c r="AO37" s="683" cm="1">
        <f t="array" ref="AO37:AO43">'MEBU HPS DAILY'!M101:M107</f>
        <v>40.4</v>
      </c>
      <c r="AP37" s="683" cm="1">
        <f t="array" ref="AP37:AP43">'MEBU HPS DAILY'!N101:N107</f>
        <v>42.7</v>
      </c>
      <c r="AQ37" s="683" cm="1">
        <f t="array" ref="AQ37:AQ43">'MEBU HPS DAILY'!O101:O107</f>
        <v>41</v>
      </c>
      <c r="AR37" s="683" cm="1">
        <f t="array" ref="AR37:AR43">'MEBU HPS DAILY'!P101:P107</f>
        <v>44.9</v>
      </c>
      <c r="AS37" s="683" cm="1">
        <f t="array" ref="AS37:AS43">'MEBU HPS DAILY'!Q101:Q107</f>
        <v>42.6</v>
      </c>
      <c r="AT37" s="683" cm="1">
        <f t="array" ref="AT37:AT43">'MEBU HPS DAILY'!R101:R107</f>
        <v>42.6</v>
      </c>
      <c r="AU37" s="683" cm="1">
        <f t="array" ref="AU37:AU43">'MEBU HPS DAILY'!S101:S107</f>
        <v>41</v>
      </c>
      <c r="AV37" s="683" cm="1">
        <f t="array" ref="AV37:AV43">'MEBU HPS DAILY'!T101:T107</f>
        <v>40.700000000000003</v>
      </c>
      <c r="AW37" s="683" cm="1">
        <f t="array" ref="AW37:AW43">'MEBU HPS DAILY'!U101:U107</f>
        <v>43.8</v>
      </c>
      <c r="AX37" s="683" cm="1">
        <f t="array" ref="AX37:AX43">'MEBU HPS DAILY'!V101:V107</f>
        <v>41.8</v>
      </c>
      <c r="AZ37" s="683" cm="1">
        <f t="array" ref="AZ37:AZ43">'MEBU HPS DAILY'!L89:L95</f>
        <v>3.5</v>
      </c>
      <c r="BA37" s="683" cm="1">
        <f t="array" ref="BA37:BA43">'MEBU HPS DAILY'!M89:M95</f>
        <v>13</v>
      </c>
      <c r="BB37" s="683" cm="1">
        <f t="array" ref="BB37:BB43">'MEBU HPS DAILY'!N89:N95</f>
        <v>27.5</v>
      </c>
      <c r="BC37" s="683" cm="1">
        <f t="array" ref="BC37:BC43">'MEBU HPS DAILY'!O89:O95</f>
        <v>37.6</v>
      </c>
      <c r="BD37" s="683" cm="1">
        <f t="array" ref="BD37:BD43">'MEBU HPS DAILY'!P89:P95</f>
        <v>31.2</v>
      </c>
      <c r="BE37" s="683" cm="1">
        <f t="array" ref="BE37:BE43">'MEBU HPS DAILY'!Q89:Q95</f>
        <v>19.2</v>
      </c>
      <c r="BF37" s="683" cm="1">
        <f t="array" ref="BF37:BF43">'MEBU HPS DAILY'!R89:R95</f>
        <v>19.2</v>
      </c>
      <c r="BG37" s="683" cm="1">
        <f t="array" ref="BG37:BG43">'MEBU HPS DAILY'!S89:S95</f>
        <v>14.2</v>
      </c>
      <c r="BH37" s="683" cm="1">
        <f t="array" ref="BH37:BH43">'MEBU HPS DAILY'!T89:T95</f>
        <v>9.1999999999999993</v>
      </c>
      <c r="BI37" s="683" cm="1">
        <f t="array" ref="BI37:BI43">'MEBU HPS DAILY'!U89:U95</f>
        <v>7.6</v>
      </c>
      <c r="BJ37" s="683" cm="1">
        <f t="array" ref="BJ37:BJ43">'MEBU HPS DAILY'!V89:V95</f>
        <v>6.2</v>
      </c>
      <c r="BL37" s="2" t="s">
        <v>164</v>
      </c>
    </row>
    <row r="38" spans="2:64" x14ac:dyDescent="0.25">
      <c r="C38" s="2" t="s">
        <v>250</v>
      </c>
      <c r="D38" s="683">
        <v>0</v>
      </c>
      <c r="E38" s="683">
        <v>0</v>
      </c>
      <c r="F38" s="683">
        <v>0</v>
      </c>
      <c r="G38" s="683">
        <v>0</v>
      </c>
      <c r="H38" s="683">
        <v>0</v>
      </c>
      <c r="I38" s="683">
        <v>0</v>
      </c>
      <c r="J38" s="683">
        <v>0</v>
      </c>
      <c r="K38" s="683">
        <v>0</v>
      </c>
      <c r="L38" s="683">
        <v>0</v>
      </c>
      <c r="M38" s="683">
        <v>0</v>
      </c>
      <c r="N38" s="683">
        <v>0</v>
      </c>
      <c r="O38" s="684"/>
      <c r="P38" s="683">
        <v>0</v>
      </c>
      <c r="Q38" s="683">
        <v>0</v>
      </c>
      <c r="R38" s="683">
        <v>0</v>
      </c>
      <c r="S38" s="683">
        <v>0</v>
      </c>
      <c r="T38" s="683">
        <v>0</v>
      </c>
      <c r="U38" s="683">
        <v>0</v>
      </c>
      <c r="V38" s="683">
        <v>0</v>
      </c>
      <c r="W38" s="683">
        <v>0</v>
      </c>
      <c r="X38" s="683">
        <v>0</v>
      </c>
      <c r="Y38" s="683">
        <v>0</v>
      </c>
      <c r="Z38" s="683">
        <v>0</v>
      </c>
      <c r="AA38" s="684"/>
      <c r="AB38" s="683">
        <v>0</v>
      </c>
      <c r="AC38" s="683">
        <v>0</v>
      </c>
      <c r="AD38" s="683">
        <v>0</v>
      </c>
      <c r="AE38" s="683">
        <v>0</v>
      </c>
      <c r="AF38" s="683">
        <v>0</v>
      </c>
      <c r="AG38" s="683">
        <v>0</v>
      </c>
      <c r="AH38" s="683">
        <v>0</v>
      </c>
      <c r="AI38" s="683">
        <v>0</v>
      </c>
      <c r="AJ38" s="683">
        <v>0</v>
      </c>
      <c r="AK38" s="683">
        <v>0</v>
      </c>
      <c r="AL38" s="683">
        <v>0</v>
      </c>
      <c r="AN38" s="683">
        <v>10.3</v>
      </c>
      <c r="AO38" s="683">
        <v>14.2</v>
      </c>
      <c r="AP38" s="683">
        <v>14.3</v>
      </c>
      <c r="AQ38" s="683">
        <v>13.3</v>
      </c>
      <c r="AR38" s="683">
        <v>14</v>
      </c>
      <c r="AS38" s="683">
        <v>13.2</v>
      </c>
      <c r="AT38" s="683">
        <v>13.2</v>
      </c>
      <c r="AU38" s="683">
        <v>14.3</v>
      </c>
      <c r="AV38" s="683">
        <v>14.3</v>
      </c>
      <c r="AW38" s="683">
        <v>15.3</v>
      </c>
      <c r="AX38" s="683">
        <v>14.6</v>
      </c>
      <c r="AZ38" s="683">
        <v>0.3</v>
      </c>
      <c r="BA38" s="683">
        <v>0.2</v>
      </c>
      <c r="BB38" s="683">
        <v>1.2</v>
      </c>
      <c r="BC38" s="683">
        <v>1.6</v>
      </c>
      <c r="BD38" s="683">
        <v>1.9</v>
      </c>
      <c r="BE38" s="683">
        <v>1.5</v>
      </c>
      <c r="BF38" s="683">
        <v>1.5</v>
      </c>
      <c r="BG38" s="683">
        <v>1.4</v>
      </c>
      <c r="BH38" s="683">
        <v>1</v>
      </c>
      <c r="BI38" s="683">
        <v>0.9</v>
      </c>
      <c r="BJ38" s="683">
        <v>0.8</v>
      </c>
      <c r="BL38" s="2" t="s">
        <v>250</v>
      </c>
    </row>
    <row r="39" spans="2:64" x14ac:dyDescent="0.25">
      <c r="C39" s="2" t="s">
        <v>251</v>
      </c>
      <c r="D39" s="683">
        <v>0</v>
      </c>
      <c r="E39" s="683">
        <v>0</v>
      </c>
      <c r="F39" s="683">
        <v>0</v>
      </c>
      <c r="G39" s="683">
        <v>0</v>
      </c>
      <c r="H39" s="683">
        <v>0</v>
      </c>
      <c r="I39" s="683">
        <v>0</v>
      </c>
      <c r="J39" s="683">
        <v>0</v>
      </c>
      <c r="K39" s="683">
        <v>0</v>
      </c>
      <c r="L39" s="683">
        <v>0</v>
      </c>
      <c r="M39" s="683">
        <v>0</v>
      </c>
      <c r="N39" s="683">
        <v>0</v>
      </c>
      <c r="O39" s="684"/>
      <c r="P39" s="683">
        <v>0</v>
      </c>
      <c r="Q39" s="683">
        <v>0</v>
      </c>
      <c r="R39" s="683">
        <v>0</v>
      </c>
      <c r="S39" s="683">
        <v>0</v>
      </c>
      <c r="T39" s="683">
        <v>0</v>
      </c>
      <c r="U39" s="683">
        <v>0</v>
      </c>
      <c r="V39" s="683">
        <v>0</v>
      </c>
      <c r="W39" s="683">
        <v>0</v>
      </c>
      <c r="X39" s="683">
        <v>0</v>
      </c>
      <c r="Y39" s="683">
        <v>0</v>
      </c>
      <c r="Z39" s="683">
        <v>0</v>
      </c>
      <c r="AA39" s="684"/>
      <c r="AB39" s="683">
        <v>0</v>
      </c>
      <c r="AC39" s="683">
        <v>0</v>
      </c>
      <c r="AD39" s="683">
        <v>0</v>
      </c>
      <c r="AE39" s="683">
        <v>0</v>
      </c>
      <c r="AF39" s="683">
        <v>0</v>
      </c>
      <c r="AG39" s="683">
        <v>0</v>
      </c>
      <c r="AH39" s="683">
        <v>0</v>
      </c>
      <c r="AI39" s="683">
        <v>0</v>
      </c>
      <c r="AJ39" s="683">
        <v>0</v>
      </c>
      <c r="AK39" s="683">
        <v>0</v>
      </c>
      <c r="AL39" s="683">
        <v>0</v>
      </c>
      <c r="AN39" s="683">
        <v>8.3000000000000007</v>
      </c>
      <c r="AO39" s="683">
        <v>11.3</v>
      </c>
      <c r="AP39" s="683">
        <v>11</v>
      </c>
      <c r="AQ39" s="683">
        <v>10.5</v>
      </c>
      <c r="AR39" s="683">
        <v>11.4</v>
      </c>
      <c r="AS39" s="683">
        <v>10.6</v>
      </c>
      <c r="AT39" s="683">
        <v>10.6</v>
      </c>
      <c r="AU39" s="683">
        <v>11.3</v>
      </c>
      <c r="AV39" s="683">
        <v>11.3</v>
      </c>
      <c r="AW39" s="683">
        <v>12</v>
      </c>
      <c r="AX39" s="683">
        <v>11.4</v>
      </c>
      <c r="AZ39" s="683">
        <v>0</v>
      </c>
      <c r="BA39" s="683">
        <v>0.1</v>
      </c>
      <c r="BB39" s="683">
        <v>0.4</v>
      </c>
      <c r="BC39" s="683">
        <v>0.8</v>
      </c>
      <c r="BD39" s="683">
        <v>1.1000000000000001</v>
      </c>
      <c r="BE39" s="683">
        <v>1.3</v>
      </c>
      <c r="BF39" s="683">
        <v>1.3</v>
      </c>
      <c r="BG39" s="683">
        <v>1.6</v>
      </c>
      <c r="BH39" s="683">
        <v>1.3</v>
      </c>
      <c r="BI39" s="683">
        <v>1.3</v>
      </c>
      <c r="BJ39" s="683">
        <v>1.3</v>
      </c>
      <c r="BL39" s="2" t="s">
        <v>251</v>
      </c>
    </row>
    <row r="40" spans="2:64" x14ac:dyDescent="0.25">
      <c r="C40" s="2" t="s">
        <v>252</v>
      </c>
      <c r="D40" s="683">
        <v>0</v>
      </c>
      <c r="E40" s="683">
        <v>0</v>
      </c>
      <c r="F40" s="683">
        <v>0</v>
      </c>
      <c r="G40" s="683">
        <v>0</v>
      </c>
      <c r="H40" s="683">
        <v>0</v>
      </c>
      <c r="I40" s="683">
        <v>0</v>
      </c>
      <c r="J40" s="683">
        <v>0</v>
      </c>
      <c r="K40" s="683">
        <v>0</v>
      </c>
      <c r="L40" s="683">
        <v>0</v>
      </c>
      <c r="M40" s="683">
        <v>0</v>
      </c>
      <c r="N40" s="683">
        <v>0</v>
      </c>
      <c r="O40" s="684"/>
      <c r="P40" s="683">
        <v>0</v>
      </c>
      <c r="Q40" s="683">
        <v>0</v>
      </c>
      <c r="R40" s="683">
        <v>0</v>
      </c>
      <c r="S40" s="683">
        <v>0</v>
      </c>
      <c r="T40" s="683">
        <v>0</v>
      </c>
      <c r="U40" s="683">
        <v>0</v>
      </c>
      <c r="V40" s="683">
        <v>0</v>
      </c>
      <c r="W40" s="683">
        <v>0</v>
      </c>
      <c r="X40" s="683">
        <v>0</v>
      </c>
      <c r="Y40" s="683">
        <v>0</v>
      </c>
      <c r="Z40" s="683">
        <v>0</v>
      </c>
      <c r="AA40" s="684"/>
      <c r="AB40" s="683">
        <v>0</v>
      </c>
      <c r="AC40" s="683">
        <v>0</v>
      </c>
      <c r="AD40" s="683">
        <v>0</v>
      </c>
      <c r="AE40" s="683">
        <v>0</v>
      </c>
      <c r="AF40" s="683">
        <v>0</v>
      </c>
      <c r="AG40" s="683">
        <v>0</v>
      </c>
      <c r="AH40" s="683">
        <v>0</v>
      </c>
      <c r="AI40" s="683">
        <v>0</v>
      </c>
      <c r="AJ40" s="683">
        <v>0</v>
      </c>
      <c r="AK40" s="683">
        <v>0</v>
      </c>
      <c r="AL40" s="683">
        <v>0</v>
      </c>
      <c r="AN40" s="683">
        <v>14.3</v>
      </c>
      <c r="AO40" s="683">
        <v>15.4</v>
      </c>
      <c r="AP40" s="683">
        <v>14.2</v>
      </c>
      <c r="AQ40" s="683">
        <v>14.7</v>
      </c>
      <c r="AR40" s="683">
        <v>15.3</v>
      </c>
      <c r="AS40" s="683">
        <v>15.8</v>
      </c>
      <c r="AT40" s="683">
        <v>15.8</v>
      </c>
      <c r="AU40" s="683">
        <v>15</v>
      </c>
      <c r="AV40" s="683">
        <v>14</v>
      </c>
      <c r="AW40" s="683">
        <v>13.6</v>
      </c>
      <c r="AX40" s="683">
        <v>14.1</v>
      </c>
      <c r="AZ40" s="683">
        <v>0.8</v>
      </c>
      <c r="BA40" s="683">
        <v>0.3</v>
      </c>
      <c r="BB40" s="683">
        <v>2.6</v>
      </c>
      <c r="BC40" s="683">
        <v>0.8</v>
      </c>
      <c r="BD40" s="683">
        <v>1.3</v>
      </c>
      <c r="BE40" s="683">
        <v>2</v>
      </c>
      <c r="BF40" s="683">
        <v>2</v>
      </c>
      <c r="BG40" s="683">
        <v>1.7</v>
      </c>
      <c r="BH40" s="683">
        <v>2.2999999999999998</v>
      </c>
      <c r="BI40" s="683">
        <v>2.2999999999999998</v>
      </c>
      <c r="BJ40" s="683">
        <v>2.2999999999999998</v>
      </c>
      <c r="BL40" s="2" t="s">
        <v>252</v>
      </c>
    </row>
    <row r="41" spans="2:64" x14ac:dyDescent="0.25">
      <c r="C41" s="2" t="s">
        <v>253</v>
      </c>
      <c r="D41" s="683">
        <v>0</v>
      </c>
      <c r="E41" s="683">
        <v>0</v>
      </c>
      <c r="F41" s="683">
        <v>0</v>
      </c>
      <c r="G41" s="683">
        <v>0</v>
      </c>
      <c r="H41" s="683">
        <v>0</v>
      </c>
      <c r="I41" s="683">
        <v>0</v>
      </c>
      <c r="J41" s="683">
        <v>0</v>
      </c>
      <c r="K41" s="683">
        <v>0</v>
      </c>
      <c r="L41" s="683">
        <v>0</v>
      </c>
      <c r="M41" s="683">
        <v>0</v>
      </c>
      <c r="N41" s="683">
        <v>0</v>
      </c>
      <c r="O41" s="684"/>
      <c r="P41" s="683">
        <v>0</v>
      </c>
      <c r="Q41" s="683">
        <v>0</v>
      </c>
      <c r="R41" s="683">
        <v>0</v>
      </c>
      <c r="S41" s="683">
        <v>0</v>
      </c>
      <c r="T41" s="683">
        <v>0</v>
      </c>
      <c r="U41" s="683">
        <v>0</v>
      </c>
      <c r="V41" s="683">
        <v>0</v>
      </c>
      <c r="W41" s="683">
        <v>0</v>
      </c>
      <c r="X41" s="683">
        <v>0</v>
      </c>
      <c r="Y41" s="683">
        <v>0</v>
      </c>
      <c r="Z41" s="683">
        <v>0</v>
      </c>
      <c r="AA41" s="684"/>
      <c r="AB41" s="683">
        <v>0</v>
      </c>
      <c r="AC41" s="683">
        <v>0</v>
      </c>
      <c r="AD41" s="683">
        <v>0</v>
      </c>
      <c r="AE41" s="683">
        <v>0</v>
      </c>
      <c r="AF41" s="683">
        <v>0</v>
      </c>
      <c r="AG41" s="683">
        <v>0</v>
      </c>
      <c r="AH41" s="683">
        <v>0</v>
      </c>
      <c r="AI41" s="683">
        <v>0</v>
      </c>
      <c r="AJ41" s="683">
        <v>0</v>
      </c>
      <c r="AK41" s="683">
        <v>0</v>
      </c>
      <c r="AL41" s="683">
        <v>0</v>
      </c>
      <c r="AN41" s="683">
        <v>8.8000000000000007</v>
      </c>
      <c r="AO41" s="683">
        <v>5.0999999999999996</v>
      </c>
      <c r="AP41" s="683">
        <v>4.5999999999999996</v>
      </c>
      <c r="AQ41" s="683">
        <v>5.5</v>
      </c>
      <c r="AR41" s="683">
        <v>4.8</v>
      </c>
      <c r="AS41" s="683">
        <v>5.7</v>
      </c>
      <c r="AT41" s="683">
        <v>5.7</v>
      </c>
      <c r="AU41" s="683">
        <v>5.0999999999999996</v>
      </c>
      <c r="AV41" s="683">
        <v>4.9000000000000004</v>
      </c>
      <c r="AW41" s="683">
        <v>4.2</v>
      </c>
      <c r="AX41" s="683">
        <v>4.9000000000000004</v>
      </c>
      <c r="AZ41" s="683">
        <v>1.6</v>
      </c>
      <c r="BA41" s="683">
        <v>0.4</v>
      </c>
      <c r="BB41" s="683">
        <v>2.2999999999999998</v>
      </c>
      <c r="BC41" s="683">
        <v>0.3</v>
      </c>
      <c r="BD41" s="683">
        <v>0.4</v>
      </c>
      <c r="BE41" s="683">
        <v>0.8</v>
      </c>
      <c r="BF41" s="683">
        <v>0.8</v>
      </c>
      <c r="BG41" s="683">
        <v>0.5</v>
      </c>
      <c r="BH41" s="683">
        <v>1</v>
      </c>
      <c r="BI41" s="683">
        <v>1</v>
      </c>
      <c r="BJ41" s="683">
        <v>1</v>
      </c>
      <c r="BL41" s="2" t="s">
        <v>253</v>
      </c>
    </row>
    <row r="42" spans="2:64" x14ac:dyDescent="0.25">
      <c r="C42" s="2" t="s">
        <v>254</v>
      </c>
      <c r="D42" s="683">
        <v>0</v>
      </c>
      <c r="E42" s="683">
        <v>0</v>
      </c>
      <c r="F42" s="683">
        <v>0</v>
      </c>
      <c r="G42" s="683">
        <v>0</v>
      </c>
      <c r="H42" s="683">
        <v>0</v>
      </c>
      <c r="I42" s="683">
        <v>0</v>
      </c>
      <c r="J42" s="683">
        <v>0</v>
      </c>
      <c r="K42" s="683">
        <v>0</v>
      </c>
      <c r="L42" s="683">
        <v>0</v>
      </c>
      <c r="M42" s="683">
        <v>0</v>
      </c>
      <c r="N42" s="683">
        <v>0</v>
      </c>
      <c r="O42" s="684"/>
      <c r="P42" s="683">
        <v>0</v>
      </c>
      <c r="Q42" s="683">
        <v>0</v>
      </c>
      <c r="R42" s="683">
        <v>0</v>
      </c>
      <c r="S42" s="683">
        <v>0</v>
      </c>
      <c r="T42" s="683">
        <v>0</v>
      </c>
      <c r="U42" s="683">
        <v>0</v>
      </c>
      <c r="V42" s="683">
        <v>0</v>
      </c>
      <c r="W42" s="683">
        <v>0</v>
      </c>
      <c r="X42" s="683">
        <v>0</v>
      </c>
      <c r="Y42" s="683">
        <v>0</v>
      </c>
      <c r="Z42" s="683">
        <v>0</v>
      </c>
      <c r="AA42" s="684"/>
      <c r="AB42" s="683">
        <v>0</v>
      </c>
      <c r="AC42" s="683">
        <v>0</v>
      </c>
      <c r="AD42" s="683">
        <v>0</v>
      </c>
      <c r="AE42" s="683">
        <v>0</v>
      </c>
      <c r="AF42" s="683">
        <v>0</v>
      </c>
      <c r="AG42" s="683">
        <v>0</v>
      </c>
      <c r="AH42" s="683">
        <v>0</v>
      </c>
      <c r="AI42" s="683">
        <v>0</v>
      </c>
      <c r="AJ42" s="683">
        <v>0</v>
      </c>
      <c r="AK42" s="683">
        <v>0</v>
      </c>
      <c r="AL42" s="683">
        <v>0</v>
      </c>
      <c r="AN42" s="683">
        <v>10.6</v>
      </c>
      <c r="AO42" s="683">
        <v>6.9</v>
      </c>
      <c r="AP42" s="683">
        <v>8</v>
      </c>
      <c r="AQ42" s="683">
        <v>9.1999999999999993</v>
      </c>
      <c r="AR42" s="683">
        <v>6.3</v>
      </c>
      <c r="AS42" s="683">
        <v>8.9</v>
      </c>
      <c r="AT42" s="683">
        <v>8.9</v>
      </c>
      <c r="AU42" s="683">
        <v>8.4</v>
      </c>
      <c r="AV42" s="683">
        <v>7.2</v>
      </c>
      <c r="AW42" s="683">
        <v>7.1</v>
      </c>
      <c r="AX42" s="683">
        <v>8.6999999999999993</v>
      </c>
      <c r="AZ42" s="683">
        <v>0</v>
      </c>
      <c r="BA42" s="683">
        <v>0.4</v>
      </c>
      <c r="BB42" s="683">
        <v>1.3</v>
      </c>
      <c r="BC42" s="683">
        <v>0.5</v>
      </c>
      <c r="BD42" s="683">
        <v>0.7</v>
      </c>
      <c r="BE42" s="683">
        <v>1.1000000000000001</v>
      </c>
      <c r="BF42" s="683">
        <v>1.1000000000000001</v>
      </c>
      <c r="BG42" s="683">
        <v>0.3</v>
      </c>
      <c r="BH42" s="683">
        <v>0.6</v>
      </c>
      <c r="BI42" s="683">
        <v>1.4</v>
      </c>
      <c r="BJ42" s="683">
        <v>1.5</v>
      </c>
      <c r="BL42" s="2" t="s">
        <v>254</v>
      </c>
    </row>
    <row r="43" spans="2:64" x14ac:dyDescent="0.25">
      <c r="C43" s="2" t="s">
        <v>255</v>
      </c>
      <c r="D43" s="683">
        <v>0</v>
      </c>
      <c r="E43" s="683">
        <v>0</v>
      </c>
      <c r="F43" s="683">
        <v>0</v>
      </c>
      <c r="G43" s="683">
        <v>0</v>
      </c>
      <c r="H43" s="683">
        <v>0</v>
      </c>
      <c r="I43" s="683">
        <v>0</v>
      </c>
      <c r="J43" s="683">
        <v>0</v>
      </c>
      <c r="K43" s="683">
        <v>0</v>
      </c>
      <c r="L43" s="683">
        <v>0</v>
      </c>
      <c r="M43" s="683">
        <v>0</v>
      </c>
      <c r="N43" s="683">
        <v>0</v>
      </c>
      <c r="O43" s="684"/>
      <c r="P43" s="683">
        <v>0</v>
      </c>
      <c r="Q43" s="683">
        <v>0</v>
      </c>
      <c r="R43" s="683">
        <v>0</v>
      </c>
      <c r="S43" s="683">
        <v>0</v>
      </c>
      <c r="T43" s="683">
        <v>0</v>
      </c>
      <c r="U43" s="683">
        <v>0</v>
      </c>
      <c r="V43" s="683">
        <v>0</v>
      </c>
      <c r="W43" s="683">
        <v>0</v>
      </c>
      <c r="X43" s="683">
        <v>0</v>
      </c>
      <c r="Y43" s="683">
        <v>0</v>
      </c>
      <c r="Z43" s="683">
        <v>0</v>
      </c>
      <c r="AA43" s="684"/>
      <c r="AB43" s="683">
        <v>0</v>
      </c>
      <c r="AC43" s="683">
        <v>0</v>
      </c>
      <c r="AD43" s="683">
        <v>0</v>
      </c>
      <c r="AE43" s="683">
        <v>0</v>
      </c>
      <c r="AF43" s="683">
        <v>0</v>
      </c>
      <c r="AG43" s="683">
        <v>0</v>
      </c>
      <c r="AH43" s="683">
        <v>0</v>
      </c>
      <c r="AI43" s="683">
        <v>0</v>
      </c>
      <c r="AJ43" s="683">
        <v>0</v>
      </c>
      <c r="AK43" s="683">
        <v>0</v>
      </c>
      <c r="AL43" s="683">
        <v>0</v>
      </c>
      <c r="AN43" s="683">
        <v>11.3</v>
      </c>
      <c r="AO43" s="683">
        <v>4.3</v>
      </c>
      <c r="AP43" s="683">
        <v>4.5999999999999996</v>
      </c>
      <c r="AQ43" s="683">
        <v>5</v>
      </c>
      <c r="AR43" s="683">
        <v>2.2999999999999998</v>
      </c>
      <c r="AS43" s="683">
        <v>2.7</v>
      </c>
      <c r="AT43" s="683">
        <v>2.7</v>
      </c>
      <c r="AU43" s="683">
        <v>4.5999999999999996</v>
      </c>
      <c r="AV43" s="683">
        <v>3.5</v>
      </c>
      <c r="AW43" s="683">
        <v>3.8</v>
      </c>
      <c r="AX43" s="683">
        <v>4.2</v>
      </c>
      <c r="AZ43" s="683">
        <v>0.9</v>
      </c>
      <c r="BA43" s="683">
        <v>0.8</v>
      </c>
      <c r="BB43" s="683">
        <v>2.7</v>
      </c>
      <c r="BC43" s="683">
        <v>0.9</v>
      </c>
      <c r="BD43" s="683">
        <v>0.5</v>
      </c>
      <c r="BE43" s="683">
        <v>0.4</v>
      </c>
      <c r="BF43" s="683">
        <v>0.4</v>
      </c>
      <c r="BG43" s="683">
        <v>0.3</v>
      </c>
      <c r="BH43" s="683">
        <v>0.4</v>
      </c>
      <c r="BI43" s="683">
        <v>0.3</v>
      </c>
      <c r="BJ43" s="683">
        <v>0.4</v>
      </c>
      <c r="BL43" s="2" t="s">
        <v>255</v>
      </c>
    </row>
    <row r="44" spans="2:64" ht="9" customHeight="1" thickBot="1" x14ac:dyDescent="0.3">
      <c r="B44" s="8"/>
      <c r="C44" s="52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</row>
    <row r="45" spans="2:64" ht="15.75" thickBot="1" x14ac:dyDescent="0.3">
      <c r="C45" s="2" t="s">
        <v>256</v>
      </c>
      <c r="D45" s="820" t="s">
        <v>417</v>
      </c>
      <c r="E45" s="821"/>
      <c r="F45" s="821"/>
      <c r="G45" s="821"/>
      <c r="H45" s="821"/>
      <c r="I45" s="821"/>
      <c r="J45" s="821"/>
      <c r="K45" s="821"/>
      <c r="L45" s="821"/>
      <c r="M45" s="821"/>
      <c r="N45" s="822"/>
      <c r="P45" s="820" t="s">
        <v>26</v>
      </c>
      <c r="Q45" s="821"/>
      <c r="R45" s="821"/>
      <c r="S45" s="821"/>
      <c r="T45" s="821"/>
      <c r="U45" s="821"/>
      <c r="V45" s="821"/>
      <c r="W45" s="821"/>
      <c r="X45" s="821"/>
      <c r="Y45" s="821"/>
      <c r="Z45" s="822"/>
      <c r="AB45" s="820" t="s">
        <v>1</v>
      </c>
      <c r="AC45" s="821"/>
      <c r="AD45" s="821"/>
      <c r="AE45" s="821"/>
      <c r="AF45" s="821"/>
      <c r="AG45" s="821"/>
      <c r="AH45" s="821"/>
      <c r="AI45" s="821"/>
      <c r="AJ45" s="821"/>
      <c r="AK45" s="821"/>
      <c r="AL45" s="822"/>
      <c r="AN45" s="817" t="s">
        <v>418</v>
      </c>
      <c r="AO45" s="818"/>
      <c r="AP45" s="818"/>
      <c r="AQ45" s="818"/>
      <c r="AR45" s="818"/>
      <c r="AS45" s="818"/>
      <c r="AT45" s="818"/>
      <c r="AU45" s="818"/>
      <c r="AV45" s="818"/>
      <c r="AW45" s="818"/>
      <c r="AX45" s="819"/>
      <c r="AZ45" s="817" t="s">
        <v>479</v>
      </c>
      <c r="BA45" s="818"/>
      <c r="BB45" s="818"/>
      <c r="BC45" s="818"/>
      <c r="BD45" s="818"/>
      <c r="BE45" s="818"/>
      <c r="BF45" s="818"/>
      <c r="BG45" s="818"/>
      <c r="BH45" s="818"/>
      <c r="BI45" s="818"/>
      <c r="BJ45" s="819"/>
    </row>
    <row r="46" spans="2:64" ht="15.75" thickBot="1" x14ac:dyDescent="0.3">
      <c r="C46" s="2" t="s">
        <v>249</v>
      </c>
      <c r="D46" s="740"/>
      <c r="E46" s="741">
        <v>2330</v>
      </c>
      <c r="F46" s="741">
        <v>4321</v>
      </c>
      <c r="G46" s="741">
        <v>4368</v>
      </c>
      <c r="H46" s="741">
        <v>4335</v>
      </c>
      <c r="I46" s="741">
        <v>4321</v>
      </c>
      <c r="J46" s="741">
        <v>4312</v>
      </c>
      <c r="K46" s="741">
        <v>1949</v>
      </c>
      <c r="L46" s="741">
        <v>0</v>
      </c>
      <c r="M46" s="741">
        <v>0</v>
      </c>
      <c r="N46" s="807"/>
      <c r="P46" s="808"/>
      <c r="Q46" s="741">
        <v>1593</v>
      </c>
      <c r="R46" s="741">
        <v>3328</v>
      </c>
      <c r="S46" s="741">
        <v>3320</v>
      </c>
      <c r="T46" s="741">
        <v>3330</v>
      </c>
      <c r="U46" s="741">
        <v>3322</v>
      </c>
      <c r="V46" s="741">
        <v>3324</v>
      </c>
      <c r="W46" s="741">
        <v>1544</v>
      </c>
      <c r="X46" s="741">
        <v>0</v>
      </c>
      <c r="Y46" s="741">
        <v>0</v>
      </c>
      <c r="Z46" s="807"/>
      <c r="AB46" s="740"/>
      <c r="AC46" s="741">
        <v>218</v>
      </c>
      <c r="AD46" s="741">
        <v>250</v>
      </c>
      <c r="AE46" s="741">
        <v>519</v>
      </c>
      <c r="AF46" s="741">
        <v>506</v>
      </c>
      <c r="AG46" s="741">
        <v>494</v>
      </c>
      <c r="AH46" s="741">
        <v>512</v>
      </c>
      <c r="AI46" s="741">
        <v>218</v>
      </c>
      <c r="AJ46" s="741"/>
      <c r="AK46" s="741"/>
      <c r="AL46" s="807"/>
      <c r="AN46" s="808"/>
      <c r="AO46" s="741">
        <v>105.09</v>
      </c>
      <c r="AP46" s="741">
        <v>212.87</v>
      </c>
      <c r="AQ46" s="741">
        <v>351.93</v>
      </c>
      <c r="AR46" s="741">
        <v>356.9</v>
      </c>
      <c r="AS46" s="741">
        <v>356.2</v>
      </c>
      <c r="AT46" s="741">
        <v>359.3</v>
      </c>
      <c r="AU46" s="741">
        <f>164.1</f>
        <v>164.1</v>
      </c>
      <c r="AV46" s="741">
        <v>0</v>
      </c>
      <c r="AW46" s="741">
        <v>0</v>
      </c>
      <c r="AX46" s="807"/>
      <c r="AY46" s="697" t="s">
        <v>395</v>
      </c>
      <c r="AZ46" s="809"/>
      <c r="BA46" s="810">
        <v>661.22</v>
      </c>
      <c r="BB46" s="810">
        <v>864.7</v>
      </c>
      <c r="BC46" s="810">
        <v>67.3</v>
      </c>
      <c r="BD46" s="810">
        <f>60.1</f>
        <v>60.1</v>
      </c>
      <c r="BE46" s="810">
        <v>56.4</v>
      </c>
      <c r="BF46" s="810">
        <v>56.2</v>
      </c>
      <c r="BG46" s="810">
        <f>27.9</f>
        <v>27.9</v>
      </c>
      <c r="BH46" s="810">
        <v>0</v>
      </c>
      <c r="BI46" s="810">
        <v>0</v>
      </c>
      <c r="BJ46" s="811"/>
    </row>
    <row r="47" spans="2:64" x14ac:dyDescent="0.25">
      <c r="C47" s="2" t="s">
        <v>248</v>
      </c>
      <c r="D47" s="704">
        <f>D46/12</f>
        <v>0</v>
      </c>
      <c r="E47" s="704">
        <f>E46/12</f>
        <v>194.16666666666666</v>
      </c>
      <c r="F47" s="704">
        <f>F46/23</f>
        <v>187.86956521739131</v>
      </c>
      <c r="G47" s="704">
        <f>G46/23.5</f>
        <v>185.87234042553192</v>
      </c>
      <c r="H47" s="704">
        <f>H$46/23.5</f>
        <v>184.46808510638297</v>
      </c>
      <c r="I47" s="704">
        <f>I$46/23.5</f>
        <v>183.87234042553192</v>
      </c>
      <c r="J47" s="704">
        <f>J$46/23.5</f>
        <v>183.48936170212767</v>
      </c>
      <c r="K47" s="704">
        <f>K$46/10.5</f>
        <v>185.61904761904762</v>
      </c>
      <c r="L47" s="704">
        <f>L$46/23.5</f>
        <v>0</v>
      </c>
      <c r="M47" s="704">
        <f>M$46/23.5</f>
        <v>0</v>
      </c>
      <c r="N47" s="704">
        <f>N$46/23.5</f>
        <v>0</v>
      </c>
      <c r="O47" s="705"/>
      <c r="P47" s="787">
        <f>P46/12</f>
        <v>0</v>
      </c>
      <c r="Q47" s="787">
        <f>Q46/12</f>
        <v>132.75</v>
      </c>
      <c r="R47" s="787">
        <f>R46/23</f>
        <v>144.69565217391303</v>
      </c>
      <c r="S47" s="787">
        <f>S46/23.5</f>
        <v>141.27659574468086</v>
      </c>
      <c r="T47" s="787">
        <f>T46/23.5</f>
        <v>141.70212765957447</v>
      </c>
      <c r="U47" s="787">
        <f>U46/23.5</f>
        <v>141.36170212765958</v>
      </c>
      <c r="V47" s="787">
        <f>V46/23.5</f>
        <v>141.44680851063831</v>
      </c>
      <c r="W47" s="787">
        <f>W46/10.5</f>
        <v>147.04761904761904</v>
      </c>
      <c r="X47" s="787">
        <f>X46/23.5</f>
        <v>0</v>
      </c>
      <c r="Y47" s="787">
        <f>Y46/23.5</f>
        <v>0</v>
      </c>
      <c r="Z47" s="787">
        <f>Z46/23.5</f>
        <v>0</v>
      </c>
      <c r="AA47" s="705"/>
      <c r="AB47" s="704">
        <f>AB46/23</f>
        <v>0</v>
      </c>
      <c r="AC47" s="704">
        <f>AD46/23</f>
        <v>10.869565217391305</v>
      </c>
      <c r="AD47" s="704">
        <f>AE46/23.5</f>
        <v>22.085106382978722</v>
      </c>
      <c r="AE47" s="704">
        <f>AE46/23.5</f>
        <v>22.085106382978722</v>
      </c>
      <c r="AF47" s="704">
        <f>AF46/23.5</f>
        <v>21.531914893617021</v>
      </c>
      <c r="AG47" s="704">
        <f>AG46/23.5</f>
        <v>21.021276595744681</v>
      </c>
      <c r="AH47" s="704">
        <f>AH46/23.5</f>
        <v>21.787234042553191</v>
      </c>
      <c r="AI47" s="704">
        <f>AI46/10.5</f>
        <v>20.761904761904763</v>
      </c>
      <c r="AJ47" s="704">
        <f t="shared" ref="AJ47:AK47" si="2">AJ46/23.5</f>
        <v>0</v>
      </c>
      <c r="AK47" s="704">
        <f t="shared" si="2"/>
        <v>0</v>
      </c>
      <c r="AL47" s="704">
        <f>AL46/23.5</f>
        <v>0</v>
      </c>
      <c r="AN47" s="787">
        <f>AN46/12</f>
        <v>0</v>
      </c>
      <c r="AO47" s="787">
        <f>AO46/12</f>
        <v>8.7575000000000003</v>
      </c>
      <c r="AP47" s="787">
        <f>AP46/23</f>
        <v>9.2552173913043472</v>
      </c>
      <c r="AQ47" s="787">
        <f>AQ46/23.5</f>
        <v>14.975744680851063</v>
      </c>
      <c r="AR47" s="787">
        <f>AR46/23.5</f>
        <v>15.187234042553191</v>
      </c>
      <c r="AS47" s="787">
        <f>AS46/23.5</f>
        <v>15.157446808510638</v>
      </c>
      <c r="AT47" s="787">
        <f>AT46/23.5</f>
        <v>15.28936170212766</v>
      </c>
      <c r="AU47" s="787">
        <f>AU46/10.5</f>
        <v>15.628571428571428</v>
      </c>
      <c r="AV47" s="787">
        <f t="shared" ref="AV47:AW47" si="3">AV46/23.5</f>
        <v>0</v>
      </c>
      <c r="AW47" s="787">
        <f t="shared" si="3"/>
        <v>0</v>
      </c>
      <c r="AX47" s="787">
        <f>AX46/23.5</f>
        <v>0</v>
      </c>
      <c r="AY47" s="697" t="s">
        <v>422</v>
      </c>
      <c r="AZ47" s="806">
        <f>AZ46/12</f>
        <v>0</v>
      </c>
      <c r="BA47" s="806">
        <f>BA46/12</f>
        <v>55.101666666666667</v>
      </c>
      <c r="BB47" s="806">
        <f>BB46/23</f>
        <v>37.595652173913045</v>
      </c>
      <c r="BC47" s="806">
        <f>BC46/23.5</f>
        <v>2.8638297872340424</v>
      </c>
      <c r="BD47" s="806">
        <f>BD46/23.5</f>
        <v>2.5574468085106385</v>
      </c>
      <c r="BE47" s="806">
        <f>BE46/23.5</f>
        <v>2.4</v>
      </c>
      <c r="BF47" s="806">
        <f>BF46/23.5</f>
        <v>2.3914893617021278</v>
      </c>
      <c r="BG47" s="806">
        <f>BG46/10.5</f>
        <v>2.657142857142857</v>
      </c>
      <c r="BH47" s="806">
        <f t="shared" ref="BH47:BJ47" si="4">BH46/23.5</f>
        <v>0</v>
      </c>
      <c r="BI47" s="806">
        <f t="shared" si="4"/>
        <v>0</v>
      </c>
      <c r="BJ47" s="806">
        <f t="shared" si="4"/>
        <v>0</v>
      </c>
    </row>
    <row r="49" spans="3:64" x14ac:dyDescent="0.25">
      <c r="C49" s="2" t="s">
        <v>258</v>
      </c>
      <c r="D49" s="691">
        <f t="shared" ref="D49" si="5">D7*D$47/100</f>
        <v>0</v>
      </c>
      <c r="E49" s="691">
        <f t="shared" ref="E49:M49" si="6">E7*E$47/100</f>
        <v>0</v>
      </c>
      <c r="F49" s="691">
        <f t="shared" si="6"/>
        <v>0</v>
      </c>
      <c r="G49" s="691">
        <f t="shared" si="6"/>
        <v>0</v>
      </c>
      <c r="H49" s="691">
        <f t="shared" si="6"/>
        <v>0</v>
      </c>
      <c r="I49" s="691">
        <f t="shared" si="6"/>
        <v>0</v>
      </c>
      <c r="J49" s="691">
        <f t="shared" si="6"/>
        <v>0</v>
      </c>
      <c r="K49" s="691">
        <f t="shared" si="6"/>
        <v>0</v>
      </c>
      <c r="L49" s="691">
        <f t="shared" si="6"/>
        <v>0</v>
      </c>
      <c r="M49" s="691">
        <f t="shared" si="6"/>
        <v>0</v>
      </c>
      <c r="N49" s="691">
        <f t="shared" ref="N49" si="7">N7*N$47/100</f>
        <v>0</v>
      </c>
      <c r="O49" s="684"/>
      <c r="P49" s="691">
        <f t="shared" ref="P49" si="8">P$47*P7/100</f>
        <v>0</v>
      </c>
      <c r="Q49" s="691">
        <f t="shared" ref="Q49:Y49" si="9">Q$47*Q7/100</f>
        <v>0.55754999999999999</v>
      </c>
      <c r="R49" s="691">
        <f t="shared" si="9"/>
        <v>0.54984347826086954</v>
      </c>
      <c r="S49" s="691">
        <f t="shared" si="9"/>
        <v>0.56510638297872351</v>
      </c>
      <c r="T49" s="691">
        <f t="shared" si="9"/>
        <v>9.4940425531914896E-2</v>
      </c>
      <c r="U49" s="691">
        <f t="shared" si="9"/>
        <v>0</v>
      </c>
      <c r="V49" s="691">
        <f t="shared" si="9"/>
        <v>0.57993191489361695</v>
      </c>
      <c r="W49" s="691">
        <f t="shared" si="9"/>
        <v>0.99992380952380955</v>
      </c>
      <c r="X49" s="691">
        <f t="shared" si="9"/>
        <v>0</v>
      </c>
      <c r="Y49" s="691">
        <f t="shared" si="9"/>
        <v>0</v>
      </c>
      <c r="Z49" s="691">
        <f>Z$47*Z7/100</f>
        <v>0</v>
      </c>
      <c r="AA49" s="684"/>
      <c r="AB49" s="691">
        <f>AB$47*AB7/100</f>
        <v>0</v>
      </c>
      <c r="AC49" s="691">
        <f>AC$47*AC7/100</f>
        <v>0.27173913043478259</v>
      </c>
      <c r="AD49" s="691">
        <f>AD$47*AD7/100</f>
        <v>0.77297872340425533</v>
      </c>
      <c r="AE49" s="691">
        <f>AE$47*AE7/100</f>
        <v>2.6502127659574466</v>
      </c>
      <c r="AF49" s="691">
        <f>AF$47*AF7/100</f>
        <v>2.5838297872340421</v>
      </c>
      <c r="AG49" s="691">
        <f t="shared" ref="AG49:AK49" si="10">AG$47*AG7/100</f>
        <v>2.5225531914893615</v>
      </c>
      <c r="AH49" s="691">
        <f t="shared" si="10"/>
        <v>2.7234042553191489</v>
      </c>
      <c r="AI49" s="691">
        <f t="shared" si="10"/>
        <v>2.3876190476190478</v>
      </c>
      <c r="AJ49" s="691">
        <f t="shared" si="10"/>
        <v>0</v>
      </c>
      <c r="AK49" s="691">
        <f t="shared" si="10"/>
        <v>0</v>
      </c>
      <c r="AL49" s="691">
        <f>AL$47*AL7/100</f>
        <v>0</v>
      </c>
      <c r="AM49" s="695"/>
    </row>
    <row r="50" spans="3:64" x14ac:dyDescent="0.25">
      <c r="C50" s="2" t="s">
        <v>257</v>
      </c>
      <c r="D50" s="691">
        <f t="shared" ref="D50" si="11">D8*D$47/100</f>
        <v>0</v>
      </c>
      <c r="E50" s="691">
        <f t="shared" ref="E50:M50" si="12">E8*E$47/100</f>
        <v>0</v>
      </c>
      <c r="F50" s="691">
        <f t="shared" si="12"/>
        <v>0</v>
      </c>
      <c r="G50" s="691">
        <f t="shared" si="12"/>
        <v>0</v>
      </c>
      <c r="H50" s="691">
        <f t="shared" si="12"/>
        <v>0</v>
      </c>
      <c r="I50" s="691">
        <f t="shared" si="12"/>
        <v>0</v>
      </c>
      <c r="J50" s="691">
        <f t="shared" si="12"/>
        <v>0</v>
      </c>
      <c r="K50" s="691">
        <f t="shared" si="12"/>
        <v>0</v>
      </c>
      <c r="L50" s="691">
        <f t="shared" si="12"/>
        <v>0</v>
      </c>
      <c r="M50" s="691">
        <f t="shared" si="12"/>
        <v>0</v>
      </c>
      <c r="N50" s="691">
        <f t="shared" ref="N50" si="13">N8*N$47/100</f>
        <v>0</v>
      </c>
      <c r="O50" s="684"/>
      <c r="P50" s="691">
        <f t="shared" ref="P50" si="14">P$47*P8/100</f>
        <v>0</v>
      </c>
      <c r="Q50" s="691">
        <f t="shared" ref="Q50:Y50" si="15">Q$47*Q8/100</f>
        <v>2.7346500000000002</v>
      </c>
      <c r="R50" s="691">
        <f t="shared" si="15"/>
        <v>2.7636869565217386</v>
      </c>
      <c r="S50" s="691">
        <f t="shared" si="15"/>
        <v>2.7266382978723409</v>
      </c>
      <c r="T50" s="691">
        <f t="shared" si="15"/>
        <v>2.438693617021277</v>
      </c>
      <c r="U50" s="691">
        <f t="shared" si="15"/>
        <v>0.56544680851063833</v>
      </c>
      <c r="V50" s="691">
        <f t="shared" si="15"/>
        <v>2.8430808510638297</v>
      </c>
      <c r="W50" s="691">
        <f t="shared" si="15"/>
        <v>3.1321142857142856</v>
      </c>
      <c r="X50" s="691">
        <f t="shared" si="15"/>
        <v>0</v>
      </c>
      <c r="Y50" s="691">
        <f t="shared" si="15"/>
        <v>0</v>
      </c>
      <c r="Z50" s="691">
        <f t="shared" ref="Z50" si="16">Z$47*Z8/100</f>
        <v>0</v>
      </c>
      <c r="AA50" s="684"/>
      <c r="AB50" s="691">
        <f t="shared" ref="AB50" si="17">AB$47*AB8/100</f>
        <v>0</v>
      </c>
      <c r="AC50" s="691">
        <f t="shared" ref="AC50:AL55" si="18">AC$47*AC8/100</f>
        <v>1.956521739130435</v>
      </c>
      <c r="AD50" s="691">
        <f t="shared" si="18"/>
        <v>4.0857446808510636</v>
      </c>
      <c r="AE50" s="691">
        <f t="shared" si="18"/>
        <v>5.0795744680851058</v>
      </c>
      <c r="AF50" s="691">
        <f t="shared" si="18"/>
        <v>4.952340425531915</v>
      </c>
      <c r="AG50" s="691">
        <f t="shared" si="18"/>
        <v>4.8348936170212768</v>
      </c>
      <c r="AH50" s="691">
        <f t="shared" si="18"/>
        <v>4.9021276595744681</v>
      </c>
      <c r="AI50" s="691">
        <f t="shared" si="18"/>
        <v>4.6714285714285717</v>
      </c>
      <c r="AJ50" s="691">
        <f t="shared" si="18"/>
        <v>0</v>
      </c>
      <c r="AK50" s="691">
        <f t="shared" si="18"/>
        <v>0</v>
      </c>
      <c r="AL50" s="691">
        <f t="shared" si="18"/>
        <v>0</v>
      </c>
      <c r="AM50" s="695"/>
      <c r="AZ50" s="816" t="s">
        <v>431</v>
      </c>
      <c r="BA50" s="816"/>
      <c r="BB50" s="816"/>
      <c r="BC50" s="816"/>
      <c r="BD50" s="816"/>
      <c r="BE50" s="816"/>
      <c r="BF50" s="816"/>
      <c r="BG50" s="816"/>
      <c r="BH50" s="816"/>
      <c r="BI50" s="816"/>
      <c r="BJ50" s="797"/>
    </row>
    <row r="51" spans="3:64" x14ac:dyDescent="0.25">
      <c r="C51" s="2" t="s">
        <v>259</v>
      </c>
      <c r="D51" s="691">
        <f t="shared" ref="D51" si="19">D9*D$47/100</f>
        <v>0</v>
      </c>
      <c r="E51" s="691">
        <f t="shared" ref="E51:M51" si="20">E9*E$47/100</f>
        <v>0</v>
      </c>
      <c r="F51" s="691">
        <f t="shared" si="20"/>
        <v>0</v>
      </c>
      <c r="G51" s="691">
        <f t="shared" si="20"/>
        <v>0</v>
      </c>
      <c r="H51" s="691">
        <f t="shared" si="20"/>
        <v>0</v>
      </c>
      <c r="I51" s="691">
        <f t="shared" si="20"/>
        <v>0</v>
      </c>
      <c r="J51" s="691">
        <f t="shared" si="20"/>
        <v>0</v>
      </c>
      <c r="K51" s="691">
        <f t="shared" si="20"/>
        <v>0</v>
      </c>
      <c r="L51" s="691">
        <f t="shared" si="20"/>
        <v>0</v>
      </c>
      <c r="M51" s="691">
        <f t="shared" si="20"/>
        <v>0</v>
      </c>
      <c r="N51" s="691">
        <f t="shared" ref="N51" si="21">N9*N$47/100</f>
        <v>0</v>
      </c>
      <c r="O51" s="684"/>
      <c r="P51" s="691">
        <f t="shared" ref="P51" si="22">P$47*P9/100</f>
        <v>0</v>
      </c>
      <c r="Q51" s="691">
        <f t="shared" ref="Q51:Y51" si="23">Q$47*Q9/100</f>
        <v>9.7836750000000006</v>
      </c>
      <c r="R51" s="691">
        <f t="shared" si="23"/>
        <v>10.070817391304347</v>
      </c>
      <c r="S51" s="691">
        <f t="shared" si="23"/>
        <v>9.7057021276595759</v>
      </c>
      <c r="T51" s="691">
        <f t="shared" si="23"/>
        <v>10.290408510638297</v>
      </c>
      <c r="U51" s="691">
        <f t="shared" si="23"/>
        <v>9.1885106382978741</v>
      </c>
      <c r="V51" s="691">
        <f t="shared" si="23"/>
        <v>9.5193702127659581</v>
      </c>
      <c r="W51" s="691">
        <f t="shared" si="23"/>
        <v>10.616838095238094</v>
      </c>
      <c r="X51" s="691">
        <f t="shared" si="23"/>
        <v>0</v>
      </c>
      <c r="Y51" s="691">
        <f t="shared" si="23"/>
        <v>0</v>
      </c>
      <c r="Z51" s="691">
        <f t="shared" ref="Z51" si="24">Z$47*Z9/100</f>
        <v>0</v>
      </c>
      <c r="AA51" s="684"/>
      <c r="AB51" s="691">
        <f t="shared" ref="AB51" si="25">AB$47*AB9/100</f>
        <v>0</v>
      </c>
      <c r="AC51" s="691">
        <f t="shared" ref="AC51:AK51" si="26">AC$47*AC9/100</f>
        <v>4.6195652173913047</v>
      </c>
      <c r="AD51" s="691">
        <f t="shared" si="26"/>
        <v>9.275744680851064</v>
      </c>
      <c r="AE51" s="691">
        <f t="shared" si="26"/>
        <v>7.7297872340425533</v>
      </c>
      <c r="AF51" s="691">
        <f t="shared" si="26"/>
        <v>7.6438297872340426</v>
      </c>
      <c r="AG51" s="691">
        <f t="shared" si="26"/>
        <v>7.462553191489361</v>
      </c>
      <c r="AH51" s="691">
        <f t="shared" si="26"/>
        <v>7.8434042553191485</v>
      </c>
      <c r="AI51" s="691">
        <f t="shared" si="26"/>
        <v>7.4742857142857142</v>
      </c>
      <c r="AJ51" s="691">
        <f t="shared" si="26"/>
        <v>0</v>
      </c>
      <c r="AK51" s="691">
        <f t="shared" si="26"/>
        <v>0</v>
      </c>
      <c r="AL51" s="691">
        <f t="shared" si="18"/>
        <v>0</v>
      </c>
      <c r="AM51" s="695"/>
      <c r="BL51" s="2" t="s">
        <v>401</v>
      </c>
    </row>
    <row r="52" spans="3:64" x14ac:dyDescent="0.25">
      <c r="C52" s="2" t="s">
        <v>260</v>
      </c>
      <c r="D52" s="691">
        <f t="shared" ref="D52" si="27">D10*D$47/100</f>
        <v>0</v>
      </c>
      <c r="E52" s="691">
        <f t="shared" ref="E52:M52" si="28">E10*E$47/100</f>
        <v>0</v>
      </c>
      <c r="F52" s="691">
        <f t="shared" si="28"/>
        <v>0</v>
      </c>
      <c r="G52" s="691">
        <f t="shared" si="28"/>
        <v>0</v>
      </c>
      <c r="H52" s="691">
        <f t="shared" si="28"/>
        <v>0</v>
      </c>
      <c r="I52" s="691">
        <f t="shared" si="28"/>
        <v>0</v>
      </c>
      <c r="J52" s="691">
        <f t="shared" si="28"/>
        <v>0</v>
      </c>
      <c r="K52" s="691">
        <f t="shared" si="28"/>
        <v>0</v>
      </c>
      <c r="L52" s="691">
        <f t="shared" si="28"/>
        <v>0</v>
      </c>
      <c r="M52" s="691">
        <f t="shared" si="28"/>
        <v>0</v>
      </c>
      <c r="N52" s="691">
        <f t="shared" ref="N52" si="29">N10*N$47/100</f>
        <v>0</v>
      </c>
      <c r="O52" s="684"/>
      <c r="P52" s="691">
        <f t="shared" ref="P52" si="30">P$47*P10/100</f>
        <v>0</v>
      </c>
      <c r="Q52" s="691">
        <f t="shared" ref="Q52:Y52" si="31">Q$47*Q10/100</f>
        <v>23.629500000000004</v>
      </c>
      <c r="R52" s="691">
        <f t="shared" si="31"/>
        <v>24.410156521739133</v>
      </c>
      <c r="S52" s="691">
        <f t="shared" si="31"/>
        <v>23.875744680851064</v>
      </c>
      <c r="T52" s="691">
        <f t="shared" si="31"/>
        <v>23.365263829787235</v>
      </c>
      <c r="U52" s="691">
        <f t="shared" si="31"/>
        <v>22.759234042553192</v>
      </c>
      <c r="V52" s="691">
        <f t="shared" si="31"/>
        <v>22.546621276595747</v>
      </c>
      <c r="W52" s="691">
        <f t="shared" si="31"/>
        <v>25.645104761904761</v>
      </c>
      <c r="X52" s="691">
        <f t="shared" si="31"/>
        <v>0</v>
      </c>
      <c r="Y52" s="691">
        <f t="shared" si="31"/>
        <v>0</v>
      </c>
      <c r="Z52" s="691">
        <f t="shared" ref="Z52" si="32">Z$47*Z10/100</f>
        <v>0</v>
      </c>
      <c r="AA52" s="684"/>
      <c r="AB52" s="691">
        <f t="shared" ref="AB52" si="33">AB$47*AB10/100</f>
        <v>0</v>
      </c>
      <c r="AC52" s="691">
        <f t="shared" ref="AC52:AK52" si="34">AC$47*AC10/100</f>
        <v>3.2608695652173911</v>
      </c>
      <c r="AD52" s="691">
        <f t="shared" si="34"/>
        <v>6.4046808510638291</v>
      </c>
      <c r="AE52" s="691">
        <f t="shared" si="34"/>
        <v>5.3004255319148932</v>
      </c>
      <c r="AF52" s="691">
        <f t="shared" si="34"/>
        <v>5.1676595744680842</v>
      </c>
      <c r="AG52" s="691">
        <f t="shared" si="34"/>
        <v>5.045106382978723</v>
      </c>
      <c r="AH52" s="691">
        <f t="shared" si="34"/>
        <v>5.12</v>
      </c>
      <c r="AI52" s="691">
        <f t="shared" si="34"/>
        <v>5.0866666666666669</v>
      </c>
      <c r="AJ52" s="691">
        <f t="shared" si="34"/>
        <v>0</v>
      </c>
      <c r="AK52" s="691">
        <f t="shared" si="34"/>
        <v>0</v>
      </c>
      <c r="AL52" s="691">
        <f t="shared" si="18"/>
        <v>0</v>
      </c>
      <c r="AM52" s="695"/>
      <c r="AZ52" s="692"/>
      <c r="BA52" s="692">
        <f t="shared" ref="BA52:BH52" si="35">BA$47*BA38/100</f>
        <v>0.11020333333333333</v>
      </c>
      <c r="BB52" s="692">
        <f t="shared" si="35"/>
        <v>0.45114782608695658</v>
      </c>
      <c r="BC52" s="692">
        <f>BC$47*BC38/100</f>
        <v>4.5821276595744677E-2</v>
      </c>
      <c r="BD52" s="692">
        <f>BD$47*BD38/100</f>
        <v>4.8591489361702128E-2</v>
      </c>
      <c r="BE52" s="692">
        <f t="shared" si="35"/>
        <v>3.5999999999999997E-2</v>
      </c>
      <c r="BF52" s="692">
        <f t="shared" si="35"/>
        <v>3.5872340425531918E-2</v>
      </c>
      <c r="BG52" s="692">
        <f t="shared" si="35"/>
        <v>3.7199999999999997E-2</v>
      </c>
      <c r="BH52" s="692">
        <f t="shared" si="35"/>
        <v>0</v>
      </c>
      <c r="BI52" s="692">
        <f t="shared" ref="BI52:BJ54" si="36">BI$47*BI38/100</f>
        <v>0</v>
      </c>
      <c r="BJ52" s="692">
        <f t="shared" si="36"/>
        <v>0</v>
      </c>
      <c r="BL52" s="2" t="s">
        <v>387</v>
      </c>
    </row>
    <row r="53" spans="3:64" x14ac:dyDescent="0.25">
      <c r="C53" s="2" t="s">
        <v>376</v>
      </c>
      <c r="D53" s="691">
        <f t="shared" ref="D53" si="37">D11*D$47/100</f>
        <v>0</v>
      </c>
      <c r="E53" s="691">
        <f t="shared" ref="E53:M53" si="38">E11*E$47/100</f>
        <v>8.0967500000000001</v>
      </c>
      <c r="F53" s="691">
        <f t="shared" si="38"/>
        <v>7.8341608695652178</v>
      </c>
      <c r="G53" s="691">
        <f t="shared" si="38"/>
        <v>7.7508765957446801</v>
      </c>
      <c r="H53" s="691">
        <f t="shared" si="38"/>
        <v>7.6923191489361695</v>
      </c>
      <c r="I53" s="691">
        <f t="shared" si="38"/>
        <v>7.6674765957446809</v>
      </c>
      <c r="J53" s="691">
        <f t="shared" si="38"/>
        <v>7.6515063829787229</v>
      </c>
      <c r="K53" s="691">
        <f t="shared" si="38"/>
        <v>7.7403142857142857</v>
      </c>
      <c r="L53" s="691">
        <f t="shared" si="38"/>
        <v>0</v>
      </c>
      <c r="M53" s="691">
        <f t="shared" si="38"/>
        <v>0</v>
      </c>
      <c r="N53" s="691">
        <f t="shared" ref="N53" si="39">N11*N$47/100</f>
        <v>0</v>
      </c>
      <c r="O53" s="684"/>
      <c r="P53" s="691">
        <f t="shared" ref="P53" si="40">P$47*P11/100</f>
        <v>0</v>
      </c>
      <c r="Q53" s="691">
        <f t="shared" ref="Q53:Y53" si="41">Q$47*Q11/100</f>
        <v>40.86045</v>
      </c>
      <c r="R53" s="691">
        <f t="shared" si="41"/>
        <v>42.960139130434783</v>
      </c>
      <c r="S53" s="691">
        <f t="shared" si="41"/>
        <v>42.227574468085116</v>
      </c>
      <c r="T53" s="691">
        <f t="shared" si="41"/>
        <v>41.131876595744679</v>
      </c>
      <c r="U53" s="691">
        <f t="shared" si="41"/>
        <v>41.277617021276598</v>
      </c>
      <c r="V53" s="691">
        <f t="shared" si="41"/>
        <v>40.849838297872346</v>
      </c>
      <c r="W53" s="691">
        <f t="shared" si="41"/>
        <v>44.643657142857137</v>
      </c>
      <c r="X53" s="691">
        <f t="shared" si="41"/>
        <v>0</v>
      </c>
      <c r="Y53" s="691">
        <f t="shared" si="41"/>
        <v>0</v>
      </c>
      <c r="Z53" s="691">
        <f t="shared" ref="Z53" si="42">Z$47*Z11/100</f>
        <v>0</v>
      </c>
      <c r="AA53" s="684"/>
      <c r="AB53" s="691">
        <f t="shared" ref="AB53" si="43">AB$47*AB11/100</f>
        <v>0</v>
      </c>
      <c r="AC53" s="691">
        <f t="shared" ref="AC53:AK53" si="44">AC$47*AC11/100</f>
        <v>0.76086956521739124</v>
      </c>
      <c r="AD53" s="691">
        <f t="shared" si="44"/>
        <v>1.5459574468085107</v>
      </c>
      <c r="AE53" s="691">
        <f t="shared" si="44"/>
        <v>1.3251063829787233</v>
      </c>
      <c r="AF53" s="691">
        <f t="shared" si="44"/>
        <v>1.184255319148936</v>
      </c>
      <c r="AG53" s="691">
        <f t="shared" si="44"/>
        <v>1.1561702127659574</v>
      </c>
      <c r="AH53" s="691">
        <f t="shared" si="44"/>
        <v>1.1982978723404256</v>
      </c>
      <c r="AI53" s="691">
        <f t="shared" si="44"/>
        <v>1.141904761904762</v>
      </c>
      <c r="AJ53" s="691">
        <f t="shared" si="44"/>
        <v>0</v>
      </c>
      <c r="AK53" s="691">
        <f t="shared" si="44"/>
        <v>0</v>
      </c>
      <c r="AL53" s="691">
        <f t="shared" si="18"/>
        <v>0</v>
      </c>
      <c r="AM53" s="695"/>
      <c r="AZ53" s="692"/>
      <c r="BA53" s="692">
        <f t="shared" ref="BA53:BB57" si="45">BA$47*BA39/100</f>
        <v>5.5101666666666667E-2</v>
      </c>
      <c r="BB53" s="692">
        <f t="shared" si="45"/>
        <v>0.1503826086956522</v>
      </c>
      <c r="BC53" s="692">
        <f>BC$46*BC39/100</f>
        <v>0.53839999999999999</v>
      </c>
      <c r="BD53" s="692">
        <f t="shared" ref="BD53:BI57" si="46">BD$47*BD39/100</f>
        <v>2.8131914893617025E-2</v>
      </c>
      <c r="BE53" s="692">
        <f t="shared" si="46"/>
        <v>3.1200000000000002E-2</v>
      </c>
      <c r="BF53" s="692">
        <f t="shared" si="46"/>
        <v>3.1089361702127661E-2</v>
      </c>
      <c r="BG53" s="692">
        <f t="shared" si="46"/>
        <v>4.251428571428572E-2</v>
      </c>
      <c r="BH53" s="692">
        <f t="shared" si="46"/>
        <v>0</v>
      </c>
      <c r="BI53" s="692">
        <f t="shared" si="36"/>
        <v>0</v>
      </c>
      <c r="BJ53" s="692">
        <f t="shared" si="36"/>
        <v>0</v>
      </c>
      <c r="BL53" s="2" t="s">
        <v>388</v>
      </c>
    </row>
    <row r="54" spans="3:64" x14ac:dyDescent="0.25">
      <c r="C54" s="2" t="s">
        <v>377</v>
      </c>
      <c r="D54" s="691">
        <f t="shared" ref="D54" si="47">D12*D$47/100</f>
        <v>0</v>
      </c>
      <c r="E54" s="691">
        <f t="shared" ref="E54:L54" si="48">E12*E$47/100</f>
        <v>19.183666666666667</v>
      </c>
      <c r="F54" s="691">
        <f t="shared" si="48"/>
        <v>18.561513043478261</v>
      </c>
      <c r="G54" s="691">
        <f t="shared" si="48"/>
        <v>18.364187234042554</v>
      </c>
      <c r="H54" s="691">
        <f t="shared" si="48"/>
        <v>18.22544680851064</v>
      </c>
      <c r="I54" s="691">
        <f t="shared" si="48"/>
        <v>18.166587234042552</v>
      </c>
      <c r="J54" s="691">
        <f t="shared" si="48"/>
        <v>18.128748936170215</v>
      </c>
      <c r="K54" s="691">
        <f t="shared" si="48"/>
        <v>18.339161904761905</v>
      </c>
      <c r="L54" s="691">
        <f t="shared" si="48"/>
        <v>0</v>
      </c>
      <c r="M54" s="691">
        <f>M12*M$47/100</f>
        <v>0</v>
      </c>
      <c r="N54" s="691">
        <f>N12*N$47/100</f>
        <v>0</v>
      </c>
      <c r="O54" s="684"/>
      <c r="P54" s="691">
        <f t="shared" ref="P54" si="49">P$47*P12/100</f>
        <v>0</v>
      </c>
      <c r="Q54" s="691">
        <f t="shared" ref="Q54:Y54" si="50">Q$47*Q12/100</f>
        <v>19.46115</v>
      </c>
      <c r="R54" s="691">
        <f t="shared" si="50"/>
        <v>20.213982608695652</v>
      </c>
      <c r="S54" s="691">
        <f t="shared" si="50"/>
        <v>19.806978723404256</v>
      </c>
      <c r="T54" s="691">
        <f t="shared" si="50"/>
        <v>18.84496595744681</v>
      </c>
      <c r="U54" s="691">
        <f t="shared" si="50"/>
        <v>19.790638297872341</v>
      </c>
      <c r="V54" s="691">
        <f t="shared" si="50"/>
        <v>19.434791489361704</v>
      </c>
      <c r="W54" s="691">
        <f t="shared" si="50"/>
        <v>19.836723809523807</v>
      </c>
      <c r="X54" s="691">
        <f t="shared" si="50"/>
        <v>0</v>
      </c>
      <c r="Y54" s="691">
        <f t="shared" si="50"/>
        <v>0</v>
      </c>
      <c r="Z54" s="691">
        <f t="shared" ref="Z54" si="51">Z$47*Z12/100</f>
        <v>0</v>
      </c>
      <c r="AA54" s="684"/>
      <c r="AB54" s="691">
        <f t="shared" ref="AB54" si="52">AB$47*AB12/100</f>
        <v>0</v>
      </c>
      <c r="AC54" s="691">
        <f t="shared" ref="AC54:AK54" si="53">AC$47*AC12/100</f>
        <v>0</v>
      </c>
      <c r="AD54" s="691">
        <f t="shared" si="53"/>
        <v>0</v>
      </c>
      <c r="AE54" s="691">
        <f t="shared" si="53"/>
        <v>0</v>
      </c>
      <c r="AF54" s="691">
        <f t="shared" si="53"/>
        <v>0</v>
      </c>
      <c r="AG54" s="691">
        <f t="shared" si="53"/>
        <v>0</v>
      </c>
      <c r="AH54" s="691">
        <f t="shared" si="53"/>
        <v>0</v>
      </c>
      <c r="AI54" s="691">
        <f t="shared" si="53"/>
        <v>0</v>
      </c>
      <c r="AJ54" s="691">
        <f t="shared" si="53"/>
        <v>0</v>
      </c>
      <c r="AK54" s="691">
        <f t="shared" si="53"/>
        <v>0</v>
      </c>
      <c r="AL54" s="691">
        <f t="shared" si="18"/>
        <v>0</v>
      </c>
      <c r="AM54" s="695"/>
      <c r="AZ54" s="692"/>
      <c r="BA54" s="692">
        <f t="shared" si="45"/>
        <v>0.16530500000000001</v>
      </c>
      <c r="BB54" s="692">
        <f t="shared" si="45"/>
        <v>0.97748695652173923</v>
      </c>
      <c r="BC54" s="692">
        <f>BC$46*BC40/100</f>
        <v>0.53839999999999999</v>
      </c>
      <c r="BD54" s="692">
        <f t="shared" si="46"/>
        <v>3.3246808510638305E-2</v>
      </c>
      <c r="BE54" s="692">
        <f t="shared" si="46"/>
        <v>4.8000000000000001E-2</v>
      </c>
      <c r="BF54" s="692">
        <f t="shared" si="46"/>
        <v>4.7829787234042555E-2</v>
      </c>
      <c r="BG54" s="692">
        <f t="shared" si="46"/>
        <v>4.5171428571428571E-2</v>
      </c>
      <c r="BH54" s="692">
        <f t="shared" si="46"/>
        <v>0</v>
      </c>
      <c r="BI54" s="692">
        <f t="shared" si="36"/>
        <v>0</v>
      </c>
      <c r="BJ54" s="692">
        <f t="shared" si="36"/>
        <v>0</v>
      </c>
      <c r="BL54" s="2" t="s">
        <v>389</v>
      </c>
    </row>
    <row r="55" spans="3:64" x14ac:dyDescent="0.25">
      <c r="C55" s="2" t="s">
        <v>261</v>
      </c>
      <c r="D55" s="691">
        <f t="shared" ref="D55" si="54">D13*D$47/100</f>
        <v>0</v>
      </c>
      <c r="E55" s="691">
        <f t="shared" ref="E55:M55" si="55">E13*E$47/100</f>
        <v>166.88624999999999</v>
      </c>
      <c r="F55" s="691">
        <f t="shared" si="55"/>
        <v>161.47389130434783</v>
      </c>
      <c r="G55" s="691">
        <f t="shared" si="55"/>
        <v>159.75727659574468</v>
      </c>
      <c r="H55" s="691">
        <f t="shared" si="55"/>
        <v>158.55031914893618</v>
      </c>
      <c r="I55" s="691">
        <f t="shared" si="55"/>
        <v>158.03827659574469</v>
      </c>
      <c r="J55" s="691">
        <f t="shared" si="55"/>
        <v>157.70910638297875</v>
      </c>
      <c r="K55" s="691">
        <f t="shared" si="55"/>
        <v>159.53957142857143</v>
      </c>
      <c r="L55" s="691">
        <f t="shared" si="55"/>
        <v>0</v>
      </c>
      <c r="M55" s="691">
        <f t="shared" si="55"/>
        <v>0</v>
      </c>
      <c r="N55" s="691">
        <f t="shared" ref="N55" si="56">N13*N$47/100</f>
        <v>0</v>
      </c>
      <c r="O55" s="684"/>
      <c r="P55" s="691">
        <f t="shared" ref="P55" si="57">P$47*P13/100</f>
        <v>0</v>
      </c>
      <c r="Q55" s="691">
        <f t="shared" ref="Q55:Y55" si="58">Q$47*Q13/100</f>
        <v>35.723024999999993</v>
      </c>
      <c r="R55" s="691">
        <f t="shared" si="58"/>
        <v>43.727026086956521</v>
      </c>
      <c r="S55" s="691">
        <f>S$47*S13/100</f>
        <v>42.368851063829808</v>
      </c>
      <c r="T55" s="691">
        <f t="shared" si="58"/>
        <v>45.535978723404241</v>
      </c>
      <c r="U55" s="691">
        <f t="shared" si="58"/>
        <v>47.780255319148935</v>
      </c>
      <c r="V55" s="691">
        <f t="shared" si="58"/>
        <v>45.673174468085115</v>
      </c>
      <c r="W55" s="691">
        <f t="shared" si="58"/>
        <v>42.173257142857146</v>
      </c>
      <c r="X55" s="691">
        <f t="shared" si="58"/>
        <v>0</v>
      </c>
      <c r="Y55" s="691">
        <f t="shared" si="58"/>
        <v>0</v>
      </c>
      <c r="Z55" s="691">
        <f t="shared" ref="Z55" si="59">Z$47*Z13/100</f>
        <v>0</v>
      </c>
      <c r="AA55" s="684"/>
      <c r="AB55" s="691">
        <f t="shared" ref="AB55" si="60">AB$47*AB13/100</f>
        <v>0</v>
      </c>
      <c r="AC55" s="691">
        <f t="shared" ref="AC55:AK55" si="61">AC$47*AC13/100</f>
        <v>0</v>
      </c>
      <c r="AD55" s="691">
        <f t="shared" si="61"/>
        <v>0</v>
      </c>
      <c r="AE55" s="691">
        <f t="shared" si="61"/>
        <v>0</v>
      </c>
      <c r="AF55" s="691">
        <f t="shared" si="61"/>
        <v>0</v>
      </c>
      <c r="AG55" s="691">
        <f t="shared" si="61"/>
        <v>0</v>
      </c>
      <c r="AH55" s="691">
        <f t="shared" si="61"/>
        <v>0</v>
      </c>
      <c r="AI55" s="691">
        <f t="shared" si="61"/>
        <v>0</v>
      </c>
      <c r="AJ55" s="691">
        <f t="shared" si="61"/>
        <v>0</v>
      </c>
      <c r="AK55" s="691">
        <f t="shared" si="61"/>
        <v>0</v>
      </c>
      <c r="AL55" s="691">
        <f t="shared" si="18"/>
        <v>0</v>
      </c>
      <c r="AM55" s="695"/>
      <c r="AZ55" s="692"/>
      <c r="BA55" s="692">
        <f t="shared" si="45"/>
        <v>0.22040666666666667</v>
      </c>
      <c r="BB55" s="692">
        <f t="shared" si="45"/>
        <v>0.86470000000000002</v>
      </c>
      <c r="BC55" s="692">
        <f>BC$46*BC41/100</f>
        <v>0.20189999999999997</v>
      </c>
      <c r="BD55" s="692">
        <f t="shared" si="46"/>
        <v>1.0229787234042555E-2</v>
      </c>
      <c r="BE55" s="692">
        <f t="shared" si="46"/>
        <v>1.9199999999999998E-2</v>
      </c>
      <c r="BF55" s="692">
        <f t="shared" si="46"/>
        <v>1.9131914893617024E-2</v>
      </c>
      <c r="BG55" s="692">
        <f t="shared" si="46"/>
        <v>1.3285714285714284E-2</v>
      </c>
      <c r="BH55" s="692">
        <f t="shared" si="46"/>
        <v>0</v>
      </c>
      <c r="BI55" s="692">
        <f t="shared" si="46"/>
        <v>0</v>
      </c>
      <c r="BJ55" s="692">
        <f>BJ$47*BJ41/100</f>
        <v>0</v>
      </c>
      <c r="BL55" s="2" t="s">
        <v>390</v>
      </c>
    </row>
    <row r="56" spans="3:64" x14ac:dyDescent="0.25">
      <c r="C56" s="2" t="s">
        <v>375</v>
      </c>
      <c r="D56" s="696">
        <f t="shared" ref="D56" si="62">SUM(D49:D55)</f>
        <v>0</v>
      </c>
      <c r="E56" s="696">
        <f t="shared" ref="E56:M56" si="63">SUM(E49:E55)</f>
        <v>194.16666666666666</v>
      </c>
      <c r="F56" s="696">
        <f t="shared" si="63"/>
        <v>187.86956521739131</v>
      </c>
      <c r="G56" s="696">
        <f t="shared" si="63"/>
        <v>185.87234042553192</v>
      </c>
      <c r="H56" s="696">
        <f t="shared" si="63"/>
        <v>184.468085106383</v>
      </c>
      <c r="I56" s="696">
        <f t="shared" si="63"/>
        <v>183.87234042553192</v>
      </c>
      <c r="J56" s="696">
        <f t="shared" si="63"/>
        <v>183.4893617021277</v>
      </c>
      <c r="K56" s="696">
        <f t="shared" si="63"/>
        <v>185.61904761904762</v>
      </c>
      <c r="L56" s="696">
        <f t="shared" si="63"/>
        <v>0</v>
      </c>
      <c r="M56" s="696">
        <f t="shared" si="63"/>
        <v>0</v>
      </c>
      <c r="N56" s="696">
        <f t="shared" ref="N56" si="64">SUM(N49:N55)</f>
        <v>0</v>
      </c>
      <c r="O56" s="697"/>
      <c r="P56" s="696">
        <f t="shared" ref="P56" si="65">SUM(P49:P55)</f>
        <v>0</v>
      </c>
      <c r="Q56" s="696">
        <f t="shared" ref="Q56:Y56" si="66">SUM(Q49:Q55)</f>
        <v>132.75</v>
      </c>
      <c r="R56" s="696">
        <f t="shared" si="66"/>
        <v>144.69565217391306</v>
      </c>
      <c r="S56" s="696">
        <f t="shared" si="66"/>
        <v>141.27659574468089</v>
      </c>
      <c r="T56" s="696">
        <f t="shared" si="66"/>
        <v>141.70212765957447</v>
      </c>
      <c r="U56" s="696">
        <f t="shared" si="66"/>
        <v>141.36170212765956</v>
      </c>
      <c r="V56" s="696">
        <f t="shared" si="66"/>
        <v>141.44680851063831</v>
      </c>
      <c r="W56" s="696">
        <f t="shared" si="66"/>
        <v>147.04761904761904</v>
      </c>
      <c r="X56" s="696">
        <f t="shared" si="66"/>
        <v>0</v>
      </c>
      <c r="Y56" s="696">
        <f t="shared" si="66"/>
        <v>0</v>
      </c>
      <c r="Z56" s="696">
        <f t="shared" ref="Z56" si="67">SUM(Z49:Z55)</f>
        <v>0</v>
      </c>
      <c r="AA56" s="697"/>
      <c r="AB56" s="696">
        <f t="shared" ref="AB56" si="68">SUM(AB49:AB55)</f>
        <v>0</v>
      </c>
      <c r="AC56" s="696">
        <f t="shared" ref="AC56:AL56" si="69">SUM(AC49:AC55)</f>
        <v>10.869565217391305</v>
      </c>
      <c r="AD56" s="696">
        <f t="shared" si="69"/>
        <v>22.085106382978722</v>
      </c>
      <c r="AE56" s="696">
        <f t="shared" si="69"/>
        <v>22.085106382978722</v>
      </c>
      <c r="AF56" s="696">
        <f t="shared" si="69"/>
        <v>21.531914893617017</v>
      </c>
      <c r="AG56" s="696">
        <f t="shared" si="69"/>
        <v>21.021276595744681</v>
      </c>
      <c r="AH56" s="696">
        <f t="shared" si="69"/>
        <v>21.787234042553191</v>
      </c>
      <c r="AI56" s="696">
        <f t="shared" si="69"/>
        <v>20.761904761904763</v>
      </c>
      <c r="AJ56" s="696">
        <f t="shared" si="69"/>
        <v>0</v>
      </c>
      <c r="AK56" s="696">
        <f t="shared" si="69"/>
        <v>0</v>
      </c>
      <c r="AL56" s="696">
        <f t="shared" si="69"/>
        <v>0</v>
      </c>
      <c r="AZ56" s="692"/>
      <c r="BA56" s="692">
        <f t="shared" si="45"/>
        <v>0.22040666666666667</v>
      </c>
      <c r="BB56" s="692">
        <f t="shared" si="45"/>
        <v>0.48874347826086961</v>
      </c>
      <c r="BC56" s="692">
        <f>BC$46*BC42/100</f>
        <v>0.33649999999999997</v>
      </c>
      <c r="BD56" s="692">
        <f t="shared" si="46"/>
        <v>1.7902127659574468E-2</v>
      </c>
      <c r="BE56" s="692">
        <f t="shared" si="46"/>
        <v>2.64E-2</v>
      </c>
      <c r="BF56" s="692">
        <f t="shared" si="46"/>
        <v>2.6306382978723408E-2</v>
      </c>
      <c r="BG56" s="692">
        <f t="shared" si="46"/>
        <v>7.9714285714285703E-3</v>
      </c>
      <c r="BH56" s="692">
        <f t="shared" si="46"/>
        <v>0</v>
      </c>
      <c r="BI56" s="692">
        <f t="shared" si="46"/>
        <v>0</v>
      </c>
      <c r="BJ56" s="692">
        <f t="shared" ref="BJ56" si="70">BJ$47*BJ42/100</f>
        <v>0</v>
      </c>
      <c r="BL56" s="2" t="s">
        <v>391</v>
      </c>
    </row>
    <row r="57" spans="3:64" x14ac:dyDescent="0.25">
      <c r="AZ57" s="692"/>
      <c r="BA57" s="692">
        <f t="shared" si="45"/>
        <v>0.44081333333333333</v>
      </c>
      <c r="BB57" s="692">
        <f t="shared" si="45"/>
        <v>1.0150826086956524</v>
      </c>
      <c r="BC57" s="692">
        <f>BC$46*BC43/100</f>
        <v>0.60570000000000002</v>
      </c>
      <c r="BD57" s="692">
        <f t="shared" si="46"/>
        <v>1.2787234042553193E-2</v>
      </c>
      <c r="BE57" s="692">
        <f t="shared" si="46"/>
        <v>9.5999999999999992E-3</v>
      </c>
      <c r="BF57" s="692">
        <f t="shared" si="46"/>
        <v>9.565957446808512E-3</v>
      </c>
      <c r="BG57" s="692">
        <f t="shared" si="46"/>
        <v>7.9714285714285703E-3</v>
      </c>
      <c r="BH57" s="692">
        <f t="shared" si="46"/>
        <v>0</v>
      </c>
      <c r="BI57" s="692">
        <f t="shared" si="46"/>
        <v>0</v>
      </c>
      <c r="BJ57" s="692">
        <f>BJ$47*BJ43/100</f>
        <v>0</v>
      </c>
      <c r="BL57" s="2" t="s">
        <v>392</v>
      </c>
    </row>
    <row r="58" spans="3:64" x14ac:dyDescent="0.25">
      <c r="C58" s="2" t="s">
        <v>262</v>
      </c>
      <c r="D58" s="693"/>
      <c r="E58" s="693">
        <f t="shared" ref="E58:M58" si="71">E$47*E16*(10^-6)</f>
        <v>1.4251833333333333E-2</v>
      </c>
      <c r="F58" s="693">
        <f t="shared" si="71"/>
        <v>1.3789626086956523E-2</v>
      </c>
      <c r="G58" s="693">
        <f t="shared" si="71"/>
        <v>1.3643029787234043E-2</v>
      </c>
      <c r="H58" s="693">
        <f t="shared" si="71"/>
        <v>1.3539957446808512E-2</v>
      </c>
      <c r="I58" s="693">
        <f t="shared" si="71"/>
        <v>1.3496229787234044E-2</v>
      </c>
      <c r="J58" s="693">
        <f t="shared" si="71"/>
        <v>1.3468119148936171E-2</v>
      </c>
      <c r="K58" s="693">
        <f t="shared" si="71"/>
        <v>1.3624438095238096E-2</v>
      </c>
      <c r="L58" s="693">
        <f t="shared" si="71"/>
        <v>0</v>
      </c>
      <c r="M58" s="693">
        <f t="shared" si="71"/>
        <v>0</v>
      </c>
      <c r="N58" s="693">
        <f t="shared" ref="N58" si="72">N$47*N16*(10^-6)</f>
        <v>0</v>
      </c>
      <c r="O58" s="701"/>
      <c r="P58" s="693">
        <f>$P$47*P16*(10^-6)</f>
        <v>0</v>
      </c>
      <c r="Q58" s="693">
        <f t="shared" ref="Q58:X58" si="73">Q47*Q16*(10^-6)</f>
        <v>6.4118249999999997E-4</v>
      </c>
      <c r="R58" s="693">
        <f t="shared" si="73"/>
        <v>9.1302956521739122E-4</v>
      </c>
      <c r="S58" s="693">
        <f t="shared" si="73"/>
        <v>9.5220425531914908E-4</v>
      </c>
      <c r="T58" s="693">
        <f t="shared" si="73"/>
        <v>1.0882723404255319E-3</v>
      </c>
      <c r="U58" s="693">
        <f t="shared" si="73"/>
        <v>1.2044017021276595E-3</v>
      </c>
      <c r="V58" s="693">
        <f t="shared" si="73"/>
        <v>1.295652765957447E-3</v>
      </c>
      <c r="W58" s="693">
        <f t="shared" si="73"/>
        <v>1.3160761904761902E-3</v>
      </c>
      <c r="X58" s="693">
        <f t="shared" si="73"/>
        <v>0</v>
      </c>
      <c r="Y58" s="693">
        <f>Y47*Y16*(10^-6)</f>
        <v>0</v>
      </c>
      <c r="Z58" s="693">
        <f>Z47*Z16*(10^-6)</f>
        <v>0</v>
      </c>
      <c r="AA58" s="701"/>
      <c r="AB58" s="693">
        <f>AB47*AB16*(10^-6)</f>
        <v>0</v>
      </c>
      <c r="AC58" s="693">
        <f t="shared" ref="AC58:AK58" si="74">AC47*AC16*(10^-6)</f>
        <v>0</v>
      </c>
      <c r="AD58" s="693">
        <f t="shared" si="74"/>
        <v>0</v>
      </c>
      <c r="AE58" s="693">
        <f t="shared" si="74"/>
        <v>0</v>
      </c>
      <c r="AF58" s="693">
        <f t="shared" si="74"/>
        <v>0</v>
      </c>
      <c r="AG58" s="693">
        <f t="shared" si="74"/>
        <v>0</v>
      </c>
      <c r="AH58" s="693">
        <f t="shared" si="74"/>
        <v>0</v>
      </c>
      <c r="AI58" s="693">
        <f t="shared" si="74"/>
        <v>0</v>
      </c>
      <c r="AJ58" s="693">
        <f t="shared" si="74"/>
        <v>0</v>
      </c>
      <c r="AK58" s="693">
        <f t="shared" si="74"/>
        <v>0</v>
      </c>
      <c r="AL58" s="693">
        <f t="shared" ref="AL58" si="75">AL47*AL16*(10^-6)</f>
        <v>0</v>
      </c>
      <c r="BL58" s="2"/>
    </row>
    <row r="59" spans="3:64" x14ac:dyDescent="0.25">
      <c r="C59" s="2" t="s">
        <v>263</v>
      </c>
      <c r="D59" s="693"/>
      <c r="E59" s="693">
        <f>E47*E17*(10^-6)</f>
        <v>4.6277683333333333E-2</v>
      </c>
      <c r="F59" s="693">
        <f t="shared" ref="F59:M59" si="76">F47*F17*(10^-6)</f>
        <v>4.4776832173913046E-2</v>
      </c>
      <c r="G59" s="693">
        <f t="shared" si="76"/>
        <v>4.4300813617021276E-2</v>
      </c>
      <c r="H59" s="693">
        <f t="shared" si="76"/>
        <v>4.396612340425532E-2</v>
      </c>
      <c r="I59" s="693">
        <f t="shared" si="76"/>
        <v>4.3824133617021276E-2</v>
      </c>
      <c r="J59" s="693">
        <f t="shared" si="76"/>
        <v>4.3732854468085107E-2</v>
      </c>
      <c r="K59" s="693">
        <f t="shared" si="76"/>
        <v>4.4240443809523806E-2</v>
      </c>
      <c r="L59" s="693">
        <f t="shared" si="76"/>
        <v>0</v>
      </c>
      <c r="M59" s="693">
        <f t="shared" si="76"/>
        <v>0</v>
      </c>
      <c r="N59" s="693">
        <f t="shared" ref="N59" si="77">N47*N17*(10^-6)</f>
        <v>0</v>
      </c>
      <c r="O59" s="701"/>
      <c r="P59" s="693">
        <f>P$47*P17*(10^-6)</f>
        <v>0</v>
      </c>
      <c r="Q59" s="693">
        <f>Q$47*Q17*(10^-6)</f>
        <v>1.2080250000000001E-4</v>
      </c>
      <c r="R59" s="693">
        <f t="shared" ref="R59:X59" si="78">R$47*R17*(10^-6)</f>
        <v>2.3295999999999999E-4</v>
      </c>
      <c r="S59" s="693">
        <f t="shared" si="78"/>
        <v>2.4864680851063831E-4</v>
      </c>
      <c r="T59" s="693">
        <f t="shared" si="78"/>
        <v>3.0891063829787237E-4</v>
      </c>
      <c r="U59" s="693">
        <f t="shared" si="78"/>
        <v>3.5623148936170213E-4</v>
      </c>
      <c r="V59" s="693">
        <f t="shared" si="78"/>
        <v>3.9746553191489359E-4</v>
      </c>
      <c r="W59" s="693">
        <f t="shared" si="78"/>
        <v>3.7203047619047613E-4</v>
      </c>
      <c r="X59" s="693">
        <f t="shared" si="78"/>
        <v>0</v>
      </c>
      <c r="Y59" s="693">
        <f>Y$47*Y17*(10^-6)</f>
        <v>0</v>
      </c>
      <c r="Z59" s="693">
        <f>Z$47*Z17*(10^-6)</f>
        <v>0</v>
      </c>
      <c r="AA59" s="701"/>
      <c r="AB59" s="693">
        <f>AB47*AB17*(10^-6)</f>
        <v>0</v>
      </c>
      <c r="AC59" s="693">
        <f t="shared" ref="AC59:AK59" si="79">AC$47*AC17*(10^-6)</f>
        <v>0</v>
      </c>
      <c r="AD59" s="693">
        <f t="shared" si="79"/>
        <v>0</v>
      </c>
      <c r="AE59" s="693">
        <f t="shared" si="79"/>
        <v>0</v>
      </c>
      <c r="AF59" s="693">
        <f t="shared" si="79"/>
        <v>0</v>
      </c>
      <c r="AG59" s="693">
        <f t="shared" si="79"/>
        <v>0</v>
      </c>
      <c r="AH59" s="693">
        <f t="shared" si="79"/>
        <v>0</v>
      </c>
      <c r="AI59" s="693">
        <f t="shared" si="79"/>
        <v>0</v>
      </c>
      <c r="AJ59" s="693">
        <f t="shared" si="79"/>
        <v>0</v>
      </c>
      <c r="AK59" s="693">
        <f t="shared" si="79"/>
        <v>0</v>
      </c>
      <c r="AL59" s="693">
        <f t="shared" ref="AL59" si="80">AL$47*AL17*(10^-6)</f>
        <v>0</v>
      </c>
      <c r="BL59" s="2"/>
    </row>
    <row r="60" spans="3:64" x14ac:dyDescent="0.25">
      <c r="C60" s="2" t="s">
        <v>264</v>
      </c>
      <c r="D60" s="693"/>
      <c r="E60" s="693">
        <f>E47*E18*(10^-6)</f>
        <v>3.766833333333333E-3</v>
      </c>
      <c r="F60" s="693">
        <f>F47*F18*(10^-6)</f>
        <v>3.6446695652173912E-3</v>
      </c>
      <c r="G60" s="693">
        <f t="shared" ref="G60:M60" si="81">G47*G18*(10^-6)</f>
        <v>3.6059234042553189E-3</v>
      </c>
      <c r="H60" s="693">
        <f t="shared" si="81"/>
        <v>3.5786808510638291E-3</v>
      </c>
      <c r="I60" s="693">
        <f t="shared" si="81"/>
        <v>3.5671234042553186E-3</v>
      </c>
      <c r="J60" s="693">
        <f t="shared" si="81"/>
        <v>3.5596936170212766E-3</v>
      </c>
      <c r="K60" s="693">
        <f t="shared" si="81"/>
        <v>3.6010095238095236E-3</v>
      </c>
      <c r="L60" s="693">
        <f t="shared" si="81"/>
        <v>0</v>
      </c>
      <c r="M60" s="693">
        <f t="shared" si="81"/>
        <v>0</v>
      </c>
      <c r="N60" s="693">
        <f t="shared" ref="N60" si="82">N47*N18*(10^-6)</f>
        <v>0</v>
      </c>
      <c r="O60" s="701"/>
      <c r="P60" s="693">
        <f>P$47*P18*(10^-6)</f>
        <v>0</v>
      </c>
      <c r="Q60" s="693">
        <f>Q$47*Q18*(10^-6)</f>
        <v>9.3986999999999998E-4</v>
      </c>
      <c r="R60" s="693">
        <f>R$47*R18*(10^-6)</f>
        <v>3.168834782608695E-4</v>
      </c>
      <c r="S60" s="693">
        <f t="shared" ref="S60:X60" si="83">S$47*S18*(10^-6)</f>
        <v>6.2161702127659578E-5</v>
      </c>
      <c r="T60" s="693">
        <f t="shared" si="83"/>
        <v>1.2328085106382979E-4</v>
      </c>
      <c r="U60" s="693">
        <f t="shared" si="83"/>
        <v>8.6230638297872341E-5</v>
      </c>
      <c r="V60" s="693">
        <f t="shared" si="83"/>
        <v>6.3651063829787231E-5</v>
      </c>
      <c r="W60" s="693">
        <f t="shared" si="83"/>
        <v>6.6171428571428563E-5</v>
      </c>
      <c r="X60" s="693">
        <f t="shared" si="83"/>
        <v>0</v>
      </c>
      <c r="Y60" s="693">
        <f>Y$47*Y18*(10^-6)</f>
        <v>0</v>
      </c>
      <c r="Z60" s="693">
        <f>Z$47*Z18*(10^-6)</f>
        <v>0</v>
      </c>
      <c r="AA60" s="701"/>
      <c r="AB60" s="693">
        <f>AB$47*AB18*(10^-6)</f>
        <v>0</v>
      </c>
      <c r="AC60" s="693">
        <f t="shared" ref="AC60:AK60" si="84">AC$47*AC18*(10^-6)</f>
        <v>0</v>
      </c>
      <c r="AD60" s="693">
        <f t="shared" si="84"/>
        <v>0</v>
      </c>
      <c r="AE60" s="693">
        <f t="shared" si="84"/>
        <v>0</v>
      </c>
      <c r="AF60" s="693">
        <f t="shared" si="84"/>
        <v>0</v>
      </c>
      <c r="AG60" s="693">
        <f t="shared" si="84"/>
        <v>0</v>
      </c>
      <c r="AH60" s="693">
        <f t="shared" si="84"/>
        <v>0</v>
      </c>
      <c r="AI60" s="693">
        <f t="shared" si="84"/>
        <v>0</v>
      </c>
      <c r="AJ60" s="693">
        <f t="shared" si="84"/>
        <v>0</v>
      </c>
      <c r="AK60" s="693">
        <f t="shared" si="84"/>
        <v>0</v>
      </c>
      <c r="AL60" s="693">
        <f t="shared" ref="AL60" si="85">AL$47*AL18*(10^-6)</f>
        <v>0</v>
      </c>
    </row>
    <row r="61" spans="3:64" x14ac:dyDescent="0.25">
      <c r="C61" s="2" t="s">
        <v>380</v>
      </c>
      <c r="D61" s="702"/>
      <c r="E61" s="702">
        <f t="shared" ref="E61:M61" si="86">SUM(E58:E60)</f>
        <v>6.4296350000000002E-2</v>
      </c>
      <c r="F61" s="702">
        <f t="shared" si="86"/>
        <v>6.2211127826086961E-2</v>
      </c>
      <c r="G61" s="702">
        <f t="shared" si="86"/>
        <v>6.1549766808510639E-2</v>
      </c>
      <c r="H61" s="702">
        <f t="shared" si="86"/>
        <v>6.1084761702127663E-2</v>
      </c>
      <c r="I61" s="702">
        <f t="shared" si="86"/>
        <v>6.0887486808510638E-2</v>
      </c>
      <c r="J61" s="702">
        <f t="shared" si="86"/>
        <v>6.0760667234042554E-2</v>
      </c>
      <c r="K61" s="702">
        <f t="shared" si="86"/>
        <v>6.146589142857143E-2</v>
      </c>
      <c r="L61" s="702">
        <f t="shared" si="86"/>
        <v>0</v>
      </c>
      <c r="M61" s="702">
        <f t="shared" si="86"/>
        <v>0</v>
      </c>
      <c r="N61" s="702">
        <f t="shared" ref="N61" si="87">SUM(N58:N60)</f>
        <v>0</v>
      </c>
      <c r="O61" s="703"/>
      <c r="P61" s="702">
        <f>SUM(P58:P60)</f>
        <v>0</v>
      </c>
      <c r="Q61" s="702">
        <f t="shared" ref="Q61:X61" si="88">SUM(Q58:Q60)</f>
        <v>1.7018549999999999E-3</v>
      </c>
      <c r="R61" s="702">
        <f t="shared" si="88"/>
        <v>1.4628730434782607E-3</v>
      </c>
      <c r="S61" s="702">
        <f t="shared" si="88"/>
        <v>1.263012765957447E-3</v>
      </c>
      <c r="T61" s="702">
        <f t="shared" si="88"/>
        <v>1.520463829787234E-3</v>
      </c>
      <c r="U61" s="702">
        <f t="shared" si="88"/>
        <v>1.6468638297872341E-3</v>
      </c>
      <c r="V61" s="702">
        <f t="shared" si="88"/>
        <v>1.7567693617021277E-3</v>
      </c>
      <c r="W61" s="702">
        <f t="shared" si="88"/>
        <v>1.7542780952380949E-3</v>
      </c>
      <c r="X61" s="702">
        <f t="shared" si="88"/>
        <v>0</v>
      </c>
      <c r="Y61" s="702">
        <f>SUM(Y58:Y60)</f>
        <v>0</v>
      </c>
      <c r="Z61" s="702">
        <f>SUM(Z58:Z60)</f>
        <v>0</v>
      </c>
      <c r="AA61" s="703"/>
      <c r="AB61" s="702">
        <f>SUM(AB58:AB60)</f>
        <v>0</v>
      </c>
      <c r="AC61" s="702">
        <f t="shared" ref="AC61:AK61" si="89">SUM(AC58:AC60)</f>
        <v>0</v>
      </c>
      <c r="AD61" s="702">
        <f t="shared" si="89"/>
        <v>0</v>
      </c>
      <c r="AE61" s="702">
        <f t="shared" si="89"/>
        <v>0</v>
      </c>
      <c r="AF61" s="702">
        <f t="shared" si="89"/>
        <v>0</v>
      </c>
      <c r="AG61" s="702">
        <f t="shared" si="89"/>
        <v>0</v>
      </c>
      <c r="AH61" s="702">
        <f t="shared" si="89"/>
        <v>0</v>
      </c>
      <c r="AI61" s="702">
        <f t="shared" si="89"/>
        <v>0</v>
      </c>
      <c r="AJ61" s="702">
        <f t="shared" si="89"/>
        <v>0</v>
      </c>
      <c r="AK61" s="702">
        <f t="shared" si="89"/>
        <v>0</v>
      </c>
      <c r="AL61" s="702">
        <f t="shared" ref="AL61" si="90">SUM(AL58:AL60)</f>
        <v>0</v>
      </c>
    </row>
    <row r="63" spans="3:64" x14ac:dyDescent="0.25">
      <c r="C63" s="2" t="s">
        <v>378</v>
      </c>
      <c r="D63" s="692"/>
      <c r="E63" s="692">
        <f t="shared" ref="E63:M63" si="91">E$47*E21/100</f>
        <v>11.622816666666665</v>
      </c>
      <c r="F63" s="692">
        <f t="shared" si="91"/>
        <v>11.245872173913044</v>
      </c>
      <c r="G63" s="692">
        <f t="shared" si="91"/>
        <v>11.12631829787234</v>
      </c>
      <c r="H63" s="692">
        <f t="shared" si="91"/>
        <v>11.042259574468085</v>
      </c>
      <c r="I63" s="692">
        <f t="shared" si="91"/>
        <v>11.00659829787234</v>
      </c>
      <c r="J63" s="692">
        <f t="shared" si="91"/>
        <v>10.983673191489361</v>
      </c>
      <c r="K63" s="692">
        <f t="shared" si="91"/>
        <v>11.111156190476191</v>
      </c>
      <c r="L63" s="692">
        <f t="shared" si="91"/>
        <v>0</v>
      </c>
      <c r="M63" s="692">
        <f t="shared" si="91"/>
        <v>0</v>
      </c>
      <c r="N63" s="692">
        <f t="shared" ref="N63" si="92">N$47*N21/100</f>
        <v>0</v>
      </c>
      <c r="O63" s="695"/>
      <c r="P63" s="692">
        <f>P$47*P21/100</f>
        <v>0</v>
      </c>
      <c r="Q63" s="692">
        <f t="shared" ref="Q63:Y63" si="93">Q$47*Q21/100</f>
        <v>1.2943125</v>
      </c>
      <c r="R63" s="692">
        <f t="shared" si="93"/>
        <v>1.5771826086956522</v>
      </c>
      <c r="S63" s="692">
        <f t="shared" si="93"/>
        <v>1.6317446808510641</v>
      </c>
      <c r="T63" s="692">
        <f t="shared" si="93"/>
        <v>1.7656085106382979</v>
      </c>
      <c r="U63" s="692">
        <f t="shared" si="93"/>
        <v>1.8461838297872342</v>
      </c>
      <c r="V63" s="692">
        <f t="shared" si="93"/>
        <v>1.8925582978723405</v>
      </c>
      <c r="W63" s="692">
        <f t="shared" si="93"/>
        <v>1.8822095238095238</v>
      </c>
      <c r="X63" s="692">
        <f t="shared" si="93"/>
        <v>0</v>
      </c>
      <c r="Y63" s="692">
        <f t="shared" si="93"/>
        <v>0</v>
      </c>
      <c r="Z63" s="692">
        <f t="shared" ref="Z63" si="94">Z$47*Z21/100</f>
        <v>0</v>
      </c>
      <c r="AA63" s="695"/>
      <c r="AB63" s="692">
        <f>AB$47*AB21/100</f>
        <v>0</v>
      </c>
      <c r="AC63" s="692">
        <f t="shared" ref="AC63:AK63" si="95">AC$47*AC21/100</f>
        <v>1.2489130434782609E-2</v>
      </c>
      <c r="AD63" s="692">
        <f t="shared" si="95"/>
        <v>2.4956170212765957E-2</v>
      </c>
      <c r="AE63" s="692">
        <f t="shared" si="95"/>
        <v>2.0627489361702125E-2</v>
      </c>
      <c r="AF63" s="692">
        <f t="shared" si="95"/>
        <v>5.5767659574468088E-2</v>
      </c>
      <c r="AG63" s="692">
        <f t="shared" si="95"/>
        <v>5.2700340425531914E-2</v>
      </c>
      <c r="AH63" s="692">
        <f t="shared" si="95"/>
        <v>6.2464000000000006E-2</v>
      </c>
      <c r="AI63" s="692">
        <f t="shared" si="95"/>
        <v>4.4700380952380957E-2</v>
      </c>
      <c r="AJ63" s="692">
        <f t="shared" si="95"/>
        <v>0</v>
      </c>
      <c r="AK63" s="692">
        <f t="shared" si="95"/>
        <v>0</v>
      </c>
      <c r="AL63" s="692">
        <f t="shared" ref="AL63" si="96">AL$47*AL21/100</f>
        <v>0</v>
      </c>
      <c r="AM63" s="699"/>
    </row>
    <row r="64" spans="3:64" x14ac:dyDescent="0.25">
      <c r="C64" s="2" t="s">
        <v>379</v>
      </c>
      <c r="D64" s="692"/>
      <c r="E64" s="692">
        <f t="shared" ref="E64:M64" si="97">E$47*E20/100</f>
        <v>0.64094416666666665</v>
      </c>
      <c r="F64" s="692">
        <f t="shared" si="97"/>
        <v>0.62015743478260876</v>
      </c>
      <c r="G64" s="692">
        <f t="shared" si="97"/>
        <v>0.61356459574468092</v>
      </c>
      <c r="H64" s="692">
        <f t="shared" si="97"/>
        <v>0.60892914893617023</v>
      </c>
      <c r="I64" s="692">
        <f t="shared" si="97"/>
        <v>0.60696259574468092</v>
      </c>
      <c r="J64" s="692">
        <f t="shared" si="97"/>
        <v>0.60569838297872347</v>
      </c>
      <c r="K64" s="692">
        <f t="shared" si="97"/>
        <v>0.61272847619047621</v>
      </c>
      <c r="L64" s="692">
        <f t="shared" si="97"/>
        <v>0</v>
      </c>
      <c r="M64" s="692">
        <f t="shared" si="97"/>
        <v>0</v>
      </c>
      <c r="N64" s="692">
        <f t="shared" ref="N64" si="98">N$47*N20/100</f>
        <v>0</v>
      </c>
      <c r="O64" s="695"/>
      <c r="P64" s="692">
        <f>P$47*P20/100</f>
        <v>0</v>
      </c>
      <c r="Q64" s="692">
        <f t="shared" ref="Q64:Y64" si="99">Q$47*Q20/100</f>
        <v>0.286578045</v>
      </c>
      <c r="R64" s="692">
        <f t="shared" si="99"/>
        <v>0.32873115826086952</v>
      </c>
      <c r="S64" s="692">
        <f t="shared" si="99"/>
        <v>0.33430704680851064</v>
      </c>
      <c r="T64" s="692">
        <f t="shared" si="99"/>
        <v>0.35561849361702125</v>
      </c>
      <c r="U64" s="692">
        <f t="shared" si="99"/>
        <v>0.3651499991489362</v>
      </c>
      <c r="V64" s="692">
        <f t="shared" si="99"/>
        <v>0.37843952170212769</v>
      </c>
      <c r="W64" s="692">
        <f t="shared" si="99"/>
        <v>0.40040625523809514</v>
      </c>
      <c r="X64" s="692">
        <f t="shared" si="99"/>
        <v>0</v>
      </c>
      <c r="Y64" s="692">
        <f t="shared" si="99"/>
        <v>0</v>
      </c>
      <c r="Z64" s="692">
        <f t="shared" ref="Z64" si="100">Z$47*Z20/100</f>
        <v>0</v>
      </c>
      <c r="AA64" s="695"/>
      <c r="AB64" s="692">
        <f>AB$47*AB20/100</f>
        <v>0</v>
      </c>
      <c r="AC64" s="692">
        <f t="shared" ref="AC64:AJ64" si="101">AC$47*AC20/100</f>
        <v>7.9882608695652172E-3</v>
      </c>
      <c r="AD64" s="692">
        <f t="shared" si="101"/>
        <v>1.7386058297872341E-2</v>
      </c>
      <c r="AE64" s="692">
        <f t="shared" si="101"/>
        <v>1.4463977872340423E-2</v>
      </c>
      <c r="AF64" s="692">
        <f t="shared" si="101"/>
        <v>1.485206893617021E-2</v>
      </c>
      <c r="AG64" s="692">
        <f t="shared" si="101"/>
        <v>1.4370144680851064E-2</v>
      </c>
      <c r="AH64" s="692">
        <f t="shared" si="101"/>
        <v>1.5373072340425531E-2</v>
      </c>
      <c r="AI64" s="692">
        <f t="shared" si="101"/>
        <v>1.4137196190476192E-2</v>
      </c>
      <c r="AJ64" s="692">
        <f t="shared" si="101"/>
        <v>0</v>
      </c>
      <c r="AK64" s="692">
        <f>AK$47*AK20/100</f>
        <v>0</v>
      </c>
      <c r="AL64" s="692">
        <f>AL$47*AL20/100</f>
        <v>0</v>
      </c>
      <c r="AM64" s="699"/>
    </row>
    <row r="65" spans="3:64" x14ac:dyDescent="0.25">
      <c r="C65" s="2" t="s">
        <v>380</v>
      </c>
      <c r="D65" s="698"/>
      <c r="E65" s="698">
        <f t="shared" ref="E65:M65" si="102">SUM(E63:E64)</f>
        <v>12.263760833333333</v>
      </c>
      <c r="F65" s="698">
        <f t="shared" si="102"/>
        <v>11.866029608695653</v>
      </c>
      <c r="G65" s="698">
        <f t="shared" si="102"/>
        <v>11.73988289361702</v>
      </c>
      <c r="H65" s="698">
        <f t="shared" si="102"/>
        <v>11.651188723404255</v>
      </c>
      <c r="I65" s="698">
        <f t="shared" si="102"/>
        <v>11.613560893617022</v>
      </c>
      <c r="J65" s="698">
        <f t="shared" si="102"/>
        <v>11.589371574468084</v>
      </c>
      <c r="K65" s="698">
        <f t="shared" si="102"/>
        <v>11.723884666666667</v>
      </c>
      <c r="L65" s="698">
        <f t="shared" si="102"/>
        <v>0</v>
      </c>
      <c r="M65" s="698">
        <f t="shared" si="102"/>
        <v>0</v>
      </c>
      <c r="N65" s="698">
        <f t="shared" ref="N65" si="103">SUM(N63:N64)</f>
        <v>0</v>
      </c>
      <c r="O65" s="700"/>
      <c r="P65" s="698">
        <f>SUM(P63:P64)</f>
        <v>0</v>
      </c>
      <c r="Q65" s="698">
        <f t="shared" ref="Q65:X65" si="104">SUM(Q63:Q64)</f>
        <v>1.5808905449999999</v>
      </c>
      <c r="R65" s="698">
        <f t="shared" si="104"/>
        <v>1.9059137669565218</v>
      </c>
      <c r="S65" s="698">
        <f t="shared" si="104"/>
        <v>1.9660517276595746</v>
      </c>
      <c r="T65" s="698">
        <f t="shared" si="104"/>
        <v>2.121227004255319</v>
      </c>
      <c r="U65" s="698">
        <f t="shared" si="104"/>
        <v>2.2113338289361701</v>
      </c>
      <c r="V65" s="698">
        <f t="shared" si="104"/>
        <v>2.2709978195744682</v>
      </c>
      <c r="W65" s="698">
        <f t="shared" si="104"/>
        <v>2.2826157790476191</v>
      </c>
      <c r="X65" s="698">
        <f t="shared" si="104"/>
        <v>0</v>
      </c>
      <c r="Y65" s="698">
        <f>SUM(Y63:Y64)</f>
        <v>0</v>
      </c>
      <c r="Z65" s="698">
        <f>SUM(Z63:Z64)</f>
        <v>0</v>
      </c>
      <c r="AA65" s="700"/>
      <c r="AB65" s="698">
        <f>SUM(AB63:AB64)</f>
        <v>0</v>
      </c>
      <c r="AC65" s="698">
        <f t="shared" ref="AC65:AK65" si="105">SUM(AC63:AC64)</f>
        <v>2.0477391304347826E-2</v>
      </c>
      <c r="AD65" s="698">
        <f t="shared" si="105"/>
        <v>4.2342228510638298E-2</v>
      </c>
      <c r="AE65" s="698">
        <f t="shared" si="105"/>
        <v>3.509146723404255E-2</v>
      </c>
      <c r="AF65" s="698">
        <f t="shared" si="105"/>
        <v>7.0619728510638302E-2</v>
      </c>
      <c r="AG65" s="698">
        <f t="shared" si="105"/>
        <v>6.7070485106382971E-2</v>
      </c>
      <c r="AH65" s="698">
        <f t="shared" si="105"/>
        <v>7.7837072340425542E-2</v>
      </c>
      <c r="AI65" s="698">
        <f t="shared" si="105"/>
        <v>5.8837577142857145E-2</v>
      </c>
      <c r="AJ65" s="698">
        <f t="shared" si="105"/>
        <v>0</v>
      </c>
      <c r="AK65" s="698">
        <f t="shared" si="105"/>
        <v>0</v>
      </c>
      <c r="AL65" s="698">
        <f t="shared" ref="AL65" si="106">SUM(AL63:AL64)</f>
        <v>0</v>
      </c>
      <c r="AM65" s="699"/>
    </row>
    <row r="67" spans="3:64" x14ac:dyDescent="0.25">
      <c r="C67" s="2" t="s">
        <v>265</v>
      </c>
      <c r="D67" s="692"/>
      <c r="E67" s="692">
        <f t="shared" ref="E67:M67" si="107">E$47*E23/100</f>
        <v>40.813833333333335</v>
      </c>
      <c r="F67" s="692">
        <f t="shared" si="107"/>
        <v>39.490182608695655</v>
      </c>
      <c r="G67" s="692">
        <f t="shared" si="107"/>
        <v>39.070365957446803</v>
      </c>
      <c r="H67" s="692">
        <f t="shared" si="107"/>
        <v>38.775191489361703</v>
      </c>
      <c r="I67" s="692">
        <f t="shared" si="107"/>
        <v>38.64996595744681</v>
      </c>
      <c r="J67" s="692">
        <f t="shared" si="107"/>
        <v>38.569463829787239</v>
      </c>
      <c r="K67" s="692">
        <f t="shared" si="107"/>
        <v>39.01712380952381</v>
      </c>
      <c r="L67" s="692">
        <f t="shared" si="107"/>
        <v>0</v>
      </c>
      <c r="M67" s="692">
        <f t="shared" si="107"/>
        <v>0</v>
      </c>
      <c r="N67" s="692">
        <f t="shared" ref="N67" si="108">N$47*N23/100</f>
        <v>0</v>
      </c>
      <c r="O67" s="684"/>
      <c r="P67" s="692">
        <f>P$47*P23/100</f>
        <v>0</v>
      </c>
      <c r="Q67" s="692">
        <f t="shared" ref="Q67:X67" si="109">Q$47*Q23/100</f>
        <v>6.2392500000000011</v>
      </c>
      <c r="R67" s="692">
        <f t="shared" si="109"/>
        <v>7.668869565217391</v>
      </c>
      <c r="S67" s="692">
        <f t="shared" si="109"/>
        <v>7.9114893617021274</v>
      </c>
      <c r="T67" s="692">
        <f t="shared" si="109"/>
        <v>7.9353191489361699</v>
      </c>
      <c r="U67" s="692">
        <f t="shared" si="109"/>
        <v>8.6230638297872346</v>
      </c>
      <c r="V67" s="692">
        <f t="shared" si="109"/>
        <v>9.0525957446808523</v>
      </c>
      <c r="W67" s="692">
        <f t="shared" si="109"/>
        <v>9.1169523809523803</v>
      </c>
      <c r="X67" s="692">
        <f t="shared" si="109"/>
        <v>0</v>
      </c>
      <c r="Y67" s="692">
        <f>Y$47*Y23/100</f>
        <v>0</v>
      </c>
      <c r="Z67" s="692">
        <f>Z$47*Z23/100</f>
        <v>0</v>
      </c>
      <c r="AA67" s="684"/>
      <c r="AB67" s="692">
        <f>AB$47*AB23/100</f>
        <v>0</v>
      </c>
      <c r="AC67" s="692">
        <f t="shared" ref="AC67:AK67" si="110">AC$47*AC23/100</f>
        <v>0</v>
      </c>
      <c r="AD67" s="692">
        <f t="shared" si="110"/>
        <v>0</v>
      </c>
      <c r="AE67" s="692">
        <f t="shared" si="110"/>
        <v>0</v>
      </c>
      <c r="AF67" s="692">
        <f t="shared" si="110"/>
        <v>0</v>
      </c>
      <c r="AG67" s="692">
        <f t="shared" si="110"/>
        <v>0</v>
      </c>
      <c r="AH67" s="692">
        <f t="shared" si="110"/>
        <v>0</v>
      </c>
      <c r="AI67" s="692">
        <f t="shared" si="110"/>
        <v>0</v>
      </c>
      <c r="AJ67" s="692">
        <f t="shared" si="110"/>
        <v>0</v>
      </c>
      <c r="AK67" s="692">
        <f t="shared" si="110"/>
        <v>0</v>
      </c>
      <c r="AL67" s="692">
        <f t="shared" ref="AL67" si="111">AL$47*AL23/100</f>
        <v>0</v>
      </c>
    </row>
    <row r="68" spans="3:64" x14ac:dyDescent="0.25">
      <c r="C68" s="2" t="s">
        <v>266</v>
      </c>
      <c r="D68" s="692"/>
      <c r="E68" s="692">
        <f t="shared" ref="E68:M68" si="112">E$47*E24/100</f>
        <v>24.96983333333333</v>
      </c>
      <c r="F68" s="692">
        <f t="shared" si="112"/>
        <v>24.160026086956524</v>
      </c>
      <c r="G68" s="692">
        <f t="shared" si="112"/>
        <v>23.903182978723404</v>
      </c>
      <c r="H68" s="692">
        <f t="shared" si="112"/>
        <v>23.722595744680849</v>
      </c>
      <c r="I68" s="692">
        <f t="shared" si="112"/>
        <v>23.645982978723406</v>
      </c>
      <c r="J68" s="692">
        <f t="shared" si="112"/>
        <v>23.596731914893617</v>
      </c>
      <c r="K68" s="692">
        <f t="shared" si="112"/>
        <v>23.87060952380952</v>
      </c>
      <c r="L68" s="692">
        <f t="shared" si="112"/>
        <v>0</v>
      </c>
      <c r="M68" s="692">
        <f t="shared" si="112"/>
        <v>0</v>
      </c>
      <c r="N68" s="692">
        <f t="shared" ref="N68" si="113">N$47*N24/100</f>
        <v>0</v>
      </c>
      <c r="O68" s="684"/>
      <c r="P68" s="692">
        <f>P$47*P24/100</f>
        <v>0</v>
      </c>
      <c r="Q68" s="692">
        <f t="shared" ref="Q68:Y68" si="114">Q$47*Q24/100</f>
        <v>2.1240000000000001</v>
      </c>
      <c r="R68" s="692">
        <f t="shared" si="114"/>
        <v>2.1704347826086958</v>
      </c>
      <c r="S68" s="692">
        <f t="shared" si="114"/>
        <v>2.5429787234042553</v>
      </c>
      <c r="T68" s="692">
        <f t="shared" si="114"/>
        <v>2.9757446808510637</v>
      </c>
      <c r="U68" s="692">
        <f t="shared" si="114"/>
        <v>3.2513191489361701</v>
      </c>
      <c r="V68" s="692">
        <f t="shared" si="114"/>
        <v>3.8190638297872344</v>
      </c>
      <c r="W68" s="692">
        <f t="shared" si="114"/>
        <v>3.5291428571428565</v>
      </c>
      <c r="X68" s="692">
        <f t="shared" si="114"/>
        <v>0</v>
      </c>
      <c r="Y68" s="692">
        <f t="shared" si="114"/>
        <v>0</v>
      </c>
      <c r="Z68" s="692">
        <f t="shared" ref="Z68" si="115">Z$47*Z24/100</f>
        <v>0</v>
      </c>
      <c r="AA68" s="684"/>
      <c r="AB68" s="692">
        <f>AB$47*AB24/100</f>
        <v>0</v>
      </c>
      <c r="AC68" s="692">
        <f t="shared" ref="AC68:AK68" si="116">AC$47*AC24/100</f>
        <v>0</v>
      </c>
      <c r="AD68" s="692">
        <f t="shared" si="116"/>
        <v>0</v>
      </c>
      <c r="AE68" s="692">
        <f t="shared" si="116"/>
        <v>0</v>
      </c>
      <c r="AF68" s="692">
        <f t="shared" si="116"/>
        <v>0</v>
      </c>
      <c r="AG68" s="692">
        <f t="shared" si="116"/>
        <v>0</v>
      </c>
      <c r="AH68" s="692">
        <f t="shared" si="116"/>
        <v>0</v>
      </c>
      <c r="AI68" s="692">
        <f t="shared" si="116"/>
        <v>0</v>
      </c>
      <c r="AJ68" s="692">
        <f t="shared" si="116"/>
        <v>0</v>
      </c>
      <c r="AK68" s="692">
        <f t="shared" si="116"/>
        <v>0</v>
      </c>
      <c r="AL68" s="692">
        <f t="shared" ref="AL68" si="117">AL$47*AL24/100</f>
        <v>0</v>
      </c>
    </row>
    <row r="69" spans="3:64" x14ac:dyDescent="0.25">
      <c r="D69" s="683"/>
      <c r="E69" s="683"/>
      <c r="F69" s="683"/>
      <c r="G69" s="683"/>
      <c r="H69" s="683"/>
      <c r="I69" s="683"/>
      <c r="J69" s="683"/>
      <c r="K69" s="683"/>
      <c r="L69" s="683"/>
      <c r="M69" s="683"/>
      <c r="N69" s="683"/>
      <c r="O69" s="684"/>
      <c r="P69" s="683"/>
      <c r="Q69" s="683"/>
      <c r="R69" s="683"/>
      <c r="S69" s="683"/>
      <c r="T69" s="683"/>
      <c r="U69" s="683"/>
      <c r="V69" s="683"/>
      <c r="W69" s="683"/>
      <c r="X69" s="683"/>
      <c r="Y69" s="683"/>
      <c r="Z69" s="683"/>
      <c r="AA69" s="684"/>
      <c r="AB69" s="683"/>
      <c r="AC69" s="683"/>
      <c r="AD69" s="683"/>
      <c r="AE69" s="683"/>
      <c r="AF69" s="683"/>
      <c r="AG69" s="683"/>
      <c r="AH69" s="683"/>
      <c r="AI69" s="683"/>
      <c r="AJ69" s="683"/>
      <c r="AK69" s="683"/>
      <c r="AL69" s="683"/>
    </row>
    <row r="70" spans="3:64" x14ac:dyDescent="0.25">
      <c r="C70" s="2" t="s">
        <v>267</v>
      </c>
      <c r="D70" s="692"/>
      <c r="E70" s="692">
        <f>E$47*E26/100</f>
        <v>50.580416666666672</v>
      </c>
      <c r="F70" s="692">
        <f t="shared" ref="F70:AK70" si="118">F$47*F26/100</f>
        <v>48.940021739130437</v>
      </c>
      <c r="G70" s="692">
        <f t="shared" si="118"/>
        <v>48.419744680851061</v>
      </c>
      <c r="H70" s="692">
        <f t="shared" si="118"/>
        <v>48.053936170212765</v>
      </c>
      <c r="I70" s="692">
        <f t="shared" si="118"/>
        <v>47.898744680851067</v>
      </c>
      <c r="J70" s="692">
        <f t="shared" si="118"/>
        <v>47.798978723404261</v>
      </c>
      <c r="K70" s="692">
        <f t="shared" si="118"/>
        <v>48.353761904761903</v>
      </c>
      <c r="L70" s="692">
        <f t="shared" si="118"/>
        <v>0</v>
      </c>
      <c r="M70" s="692">
        <f t="shared" si="118"/>
        <v>0</v>
      </c>
      <c r="N70" s="692">
        <f t="shared" ref="N70" si="119">N$47*N26/100</f>
        <v>0</v>
      </c>
      <c r="O70" s="694"/>
      <c r="P70" s="692">
        <f>P$47*P26/100</f>
        <v>0</v>
      </c>
      <c r="Q70" s="692">
        <f t="shared" si="118"/>
        <v>9.9695249999999991</v>
      </c>
      <c r="R70" s="692">
        <f t="shared" si="118"/>
        <v>11.904762434782606</v>
      </c>
      <c r="S70" s="692">
        <f t="shared" si="118"/>
        <v>12.437426382978725</v>
      </c>
      <c r="T70" s="692">
        <f t="shared" si="118"/>
        <v>13.131819574468086</v>
      </c>
      <c r="U70" s="692">
        <f t="shared" si="118"/>
        <v>13.134127787234043</v>
      </c>
      <c r="V70" s="692">
        <f t="shared" si="118"/>
        <v>13.045356255319147</v>
      </c>
      <c r="W70" s="692">
        <f t="shared" si="118"/>
        <v>13.440152380952382</v>
      </c>
      <c r="X70" s="692">
        <f t="shared" si="118"/>
        <v>0</v>
      </c>
      <c r="Y70" s="692">
        <f t="shared" si="118"/>
        <v>0</v>
      </c>
      <c r="Z70" s="692">
        <f t="shared" si="118"/>
        <v>0</v>
      </c>
      <c r="AA70" s="694"/>
      <c r="AB70" s="692">
        <f t="shared" si="118"/>
        <v>0</v>
      </c>
      <c r="AC70" s="692">
        <f t="shared" si="118"/>
        <v>0</v>
      </c>
      <c r="AD70" s="692">
        <f t="shared" si="118"/>
        <v>0</v>
      </c>
      <c r="AE70" s="692">
        <f t="shared" si="118"/>
        <v>0</v>
      </c>
      <c r="AF70" s="692">
        <f t="shared" si="118"/>
        <v>0</v>
      </c>
      <c r="AG70" s="692">
        <f t="shared" si="118"/>
        <v>0</v>
      </c>
      <c r="AH70" s="692">
        <f t="shared" si="118"/>
        <v>0</v>
      </c>
      <c r="AI70" s="692">
        <f t="shared" si="118"/>
        <v>0</v>
      </c>
      <c r="AJ70" s="692">
        <f t="shared" si="118"/>
        <v>0</v>
      </c>
      <c r="AK70" s="692">
        <f t="shared" si="118"/>
        <v>0</v>
      </c>
      <c r="AL70" s="692">
        <f t="shared" ref="AL70" si="120">AL$47*AL26/100</f>
        <v>0</v>
      </c>
    </row>
    <row r="72" spans="3:64" ht="18" x14ac:dyDescent="0.35">
      <c r="C72" s="2" t="s">
        <v>328</v>
      </c>
      <c r="D72" s="692"/>
      <c r="E72" s="692">
        <f t="shared" ref="E72:M72" si="121">E$47*E33/100</f>
        <v>163.04982413653639</v>
      </c>
      <c r="F72" s="692">
        <f t="shared" si="121"/>
        <v>157.76188619383626</v>
      </c>
      <c r="G72" s="692">
        <f t="shared" si="121"/>
        <v>156.08473348444329</v>
      </c>
      <c r="H72" s="692">
        <f t="shared" si="121"/>
        <v>154.90552189905256</v>
      </c>
      <c r="I72" s="692">
        <f t="shared" si="121"/>
        <v>154.40525031737167</v>
      </c>
      <c r="J72" s="692">
        <f t="shared" si="121"/>
        <v>154.08364715771964</v>
      </c>
      <c r="K72" s="692">
        <f t="shared" si="121"/>
        <v>155.87203298202792</v>
      </c>
      <c r="L72" s="692">
        <f t="shared" si="121"/>
        <v>0</v>
      </c>
      <c r="M72" s="692">
        <f t="shared" si="121"/>
        <v>0</v>
      </c>
      <c r="N72" s="692">
        <f t="shared" ref="N72" si="122">N$47*N33/100</f>
        <v>0</v>
      </c>
      <c r="O72" s="694"/>
      <c r="P72" s="692">
        <f t="shared" ref="P72:AK72" si="123">P$47*P33/100</f>
        <v>0</v>
      </c>
      <c r="Q72" s="692">
        <f t="shared" si="123"/>
        <v>116.30819662287911</v>
      </c>
      <c r="R72" s="692">
        <f t="shared" si="123"/>
        <v>126.39226018259289</v>
      </c>
      <c r="S72" s="692">
        <f t="shared" si="123"/>
        <v>123.24532260159172</v>
      </c>
      <c r="T72" s="692">
        <f t="shared" si="123"/>
        <v>123.77615985406432</v>
      </c>
      <c r="U72" s="692">
        <f t="shared" si="123"/>
        <v>123.20898456001234</v>
      </c>
      <c r="V72" s="692">
        <f t="shared" si="123"/>
        <v>123.29326106544906</v>
      </c>
      <c r="W72" s="692">
        <f t="shared" si="123"/>
        <v>128.39308988651624</v>
      </c>
      <c r="X72" s="692">
        <f t="shared" si="123"/>
        <v>0</v>
      </c>
      <c r="Y72" s="692">
        <f t="shared" si="123"/>
        <v>0</v>
      </c>
      <c r="Z72" s="692">
        <f t="shared" ref="Z72" si="124">Z$47*Z33/100</f>
        <v>0</v>
      </c>
      <c r="AA72" s="694"/>
      <c r="AB72" s="692">
        <f t="shared" si="123"/>
        <v>0</v>
      </c>
      <c r="AC72" s="692">
        <f t="shared" si="123"/>
        <v>9.4184170629103168</v>
      </c>
      <c r="AD72" s="692">
        <f t="shared" si="123"/>
        <v>19.068951632484939</v>
      </c>
      <c r="AE72" s="692">
        <f t="shared" si="123"/>
        <v>18.988408233324165</v>
      </c>
      <c r="AF72" s="692">
        <f t="shared" si="123"/>
        <v>18.497521684921768</v>
      </c>
      <c r="AG72" s="692">
        <f t="shared" si="123"/>
        <v>18.090432456148093</v>
      </c>
      <c r="AH72" s="692">
        <f t="shared" si="123"/>
        <v>18.710056903930465</v>
      </c>
      <c r="AI72" s="692">
        <f t="shared" si="123"/>
        <v>17.882500288085364</v>
      </c>
      <c r="AJ72" s="692">
        <f t="shared" si="123"/>
        <v>0</v>
      </c>
      <c r="AK72" s="692">
        <f t="shared" si="123"/>
        <v>0</v>
      </c>
      <c r="AL72" s="692">
        <f t="shared" ref="AL72" si="125">AL$47*AL33/100</f>
        <v>0</v>
      </c>
    </row>
    <row r="73" spans="3:64" ht="18" x14ac:dyDescent="0.35">
      <c r="C73" s="2" t="s">
        <v>329</v>
      </c>
      <c r="D73" s="692"/>
      <c r="E73" s="692">
        <f t="shared" ref="E73:M73" si="126">E$47*E34/100</f>
        <v>18.917724821534801</v>
      </c>
      <c r="F73" s="692">
        <f t="shared" si="126"/>
        <v>18.304196071024865</v>
      </c>
      <c r="G73" s="692">
        <f t="shared" si="126"/>
        <v>18.109605775647303</v>
      </c>
      <c r="H73" s="692">
        <f t="shared" si="126"/>
        <v>17.972788699045573</v>
      </c>
      <c r="I73" s="692">
        <f t="shared" si="126"/>
        <v>17.914745090790294</v>
      </c>
      <c r="J73" s="692">
        <f t="shared" si="126"/>
        <v>17.877431342626185</v>
      </c>
      <c r="K73" s="692">
        <f t="shared" si="126"/>
        <v>18.08492737077686</v>
      </c>
      <c r="L73" s="692">
        <f t="shared" si="126"/>
        <v>0</v>
      </c>
      <c r="M73" s="692">
        <f t="shared" si="126"/>
        <v>0</v>
      </c>
      <c r="N73" s="692">
        <f>N$47*N34/100</f>
        <v>0</v>
      </c>
      <c r="O73" s="694"/>
      <c r="P73" s="692">
        <f t="shared" ref="P73:AK73" si="127">P$47*P34/100</f>
        <v>0</v>
      </c>
      <c r="Q73" s="692">
        <f t="shared" si="127"/>
        <v>14.871719717946988</v>
      </c>
      <c r="R73" s="692">
        <f t="shared" si="127"/>
        <v>16.410283212145938</v>
      </c>
      <c r="S73" s="692">
        <f t="shared" si="127"/>
        <v>16.073026984617233</v>
      </c>
      <c r="T73" s="692">
        <f t="shared" si="127"/>
        <v>15.814430645283144</v>
      </c>
      <c r="U73" s="692">
        <f t="shared" si="127"/>
        <v>15.951980288709171</v>
      </c>
      <c r="V73" s="692">
        <f t="shared" si="127"/>
        <v>15.899746129652351</v>
      </c>
      <c r="W73" s="692">
        <f t="shared" si="127"/>
        <v>16.390296685524355</v>
      </c>
      <c r="X73" s="692">
        <f t="shared" si="127"/>
        <v>0</v>
      </c>
      <c r="Y73" s="692">
        <f t="shared" si="127"/>
        <v>0</v>
      </c>
      <c r="Z73" s="692">
        <f t="shared" ref="Z73" si="128">Z$47*Z34/100</f>
        <v>0</v>
      </c>
      <c r="AA73" s="694"/>
      <c r="AB73" s="692">
        <f t="shared" si="127"/>
        <v>0</v>
      </c>
      <c r="AC73" s="692">
        <f t="shared" si="127"/>
        <v>1.4306868825666539</v>
      </c>
      <c r="AD73" s="692">
        <f>AD$47*AD34/100</f>
        <v>2.9737931754518279</v>
      </c>
      <c r="AE73" s="692">
        <f t="shared" si="127"/>
        <v>3.0608247865993627</v>
      </c>
      <c r="AF73" s="692">
        <f t="shared" si="127"/>
        <v>2.9627497525105029</v>
      </c>
      <c r="AG73" s="692">
        <f t="shared" si="127"/>
        <v>2.8632948584303701</v>
      </c>
      <c r="AH73" s="692">
        <f t="shared" si="127"/>
        <v>2.9981228837305793</v>
      </c>
      <c r="AI73" s="692">
        <f t="shared" si="127"/>
        <v>2.8195509489304311</v>
      </c>
      <c r="AJ73" s="692">
        <f t="shared" si="127"/>
        <v>0</v>
      </c>
      <c r="AK73" s="692">
        <f t="shared" si="127"/>
        <v>0</v>
      </c>
      <c r="AL73" s="692">
        <f t="shared" ref="AL73" si="129">AL$47*AL34/100</f>
        <v>0</v>
      </c>
      <c r="BB73" s="2" t="s">
        <v>424</v>
      </c>
      <c r="BC73" s="2"/>
      <c r="BD73" s="2">
        <f>273.15+32</f>
        <v>305.14999999999998</v>
      </c>
      <c r="BE73" s="2" t="s">
        <v>423</v>
      </c>
    </row>
    <row r="74" spans="3:64" x14ac:dyDescent="0.25"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708" t="s">
        <v>480</v>
      </c>
      <c r="AS74" s="4"/>
      <c r="AT74" s="4"/>
      <c r="AU74" s="4"/>
      <c r="AV74" s="4"/>
      <c r="AW74" s="4"/>
      <c r="AX74" s="4"/>
      <c r="AY74" s="4"/>
      <c r="AZ74" s="816" t="s">
        <v>481</v>
      </c>
      <c r="BA74" s="816"/>
      <c r="BB74" s="816"/>
      <c r="BC74" s="816"/>
      <c r="BD74" s="816"/>
      <c r="BE74" s="816"/>
      <c r="BF74" s="816"/>
      <c r="BG74" s="816"/>
      <c r="BH74" s="816"/>
      <c r="BI74" s="816"/>
      <c r="BJ74" s="797"/>
    </row>
    <row r="75" spans="3:64" x14ac:dyDescent="0.25">
      <c r="C75" s="2" t="s">
        <v>387</v>
      </c>
      <c r="D75" s="685" t="s">
        <v>396</v>
      </c>
      <c r="E75" s="682">
        <v>12</v>
      </c>
      <c r="F75" s="685" t="s">
        <v>402</v>
      </c>
      <c r="G75" s="682">
        <v>4</v>
      </c>
      <c r="H75" s="3" t="s">
        <v>409</v>
      </c>
      <c r="I75" s="682">
        <f>E75+G75</f>
        <v>16</v>
      </c>
      <c r="AL75" s="520" t="s">
        <v>449</v>
      </c>
      <c r="AN75" s="731">
        <f>AN$37*AN$47/100</f>
        <v>0</v>
      </c>
      <c r="AO75" s="731">
        <f>AO$37*AO$47/100</f>
        <v>3.53803</v>
      </c>
      <c r="AP75" s="731">
        <f t="shared" ref="AP75:AX75" si="130">AP$37*AP$47/100</f>
        <v>3.9519778260869565</v>
      </c>
      <c r="AQ75" s="731">
        <f t="shared" si="130"/>
        <v>6.140055319148936</v>
      </c>
      <c r="AR75" s="731">
        <f t="shared" si="130"/>
        <v>6.819068085106383</v>
      </c>
      <c r="AS75" s="731">
        <f t="shared" si="130"/>
        <v>6.4570723404255315</v>
      </c>
      <c r="AT75" s="731">
        <f t="shared" si="130"/>
        <v>6.5132680851063833</v>
      </c>
      <c r="AU75" s="731">
        <f t="shared" si="130"/>
        <v>6.4077142857142864</v>
      </c>
      <c r="AV75" s="731">
        <f t="shared" si="130"/>
        <v>0</v>
      </c>
      <c r="AW75" s="731">
        <f t="shared" si="130"/>
        <v>0</v>
      </c>
      <c r="AX75" s="731">
        <f t="shared" si="130"/>
        <v>0</v>
      </c>
      <c r="AZ75" s="683"/>
      <c r="BA75" s="692"/>
      <c r="BB75" s="683"/>
      <c r="BC75" s="683"/>
      <c r="BD75" s="683"/>
      <c r="BE75" s="683"/>
      <c r="BF75" s="683"/>
      <c r="BG75" s="683"/>
      <c r="BH75" s="683"/>
      <c r="BI75" s="683"/>
      <c r="BJ75" s="683"/>
      <c r="BL75" s="2" t="s">
        <v>450</v>
      </c>
    </row>
    <row r="76" spans="3:64" x14ac:dyDescent="0.25">
      <c r="C76" s="2" t="s">
        <v>388</v>
      </c>
      <c r="D76" s="685" t="s">
        <v>397</v>
      </c>
      <c r="E76" s="682">
        <v>24</v>
      </c>
      <c r="F76" s="685" t="s">
        <v>405</v>
      </c>
      <c r="G76" s="682">
        <v>6</v>
      </c>
      <c r="H76" s="3" t="s">
        <v>410</v>
      </c>
      <c r="I76" s="682">
        <f t="shared" ref="I76:I82" si="131">E76+G76</f>
        <v>30</v>
      </c>
      <c r="AL76" s="520" t="s">
        <v>271</v>
      </c>
      <c r="AN76" s="731">
        <f>AN$47*AN38/100</f>
        <v>0</v>
      </c>
      <c r="AO76" s="731">
        <f t="shared" ref="AO76:AW76" si="132">AO$47*AO38/100</f>
        <v>1.243565</v>
      </c>
      <c r="AP76" s="731">
        <f t="shared" si="132"/>
        <v>1.3234960869565215</v>
      </c>
      <c r="AQ76" s="731">
        <f t="shared" si="132"/>
        <v>1.9917740425531916</v>
      </c>
      <c r="AR76" s="731">
        <f t="shared" si="132"/>
        <v>2.126212765957447</v>
      </c>
      <c r="AS76" s="731">
        <f t="shared" si="132"/>
        <v>2.0007829787234042</v>
      </c>
      <c r="AT76" s="731">
        <f t="shared" si="132"/>
        <v>2.0181957446808512</v>
      </c>
      <c r="AU76" s="731">
        <f t="shared" si="132"/>
        <v>2.2348857142857144</v>
      </c>
      <c r="AV76" s="731">
        <f t="shared" si="132"/>
        <v>0</v>
      </c>
      <c r="AW76" s="731">
        <f t="shared" si="132"/>
        <v>0</v>
      </c>
      <c r="AX76" s="731">
        <f t="shared" ref="AX76" si="133">AX$47*AX38/100</f>
        <v>0</v>
      </c>
      <c r="AY76" s="694"/>
      <c r="AZ76" s="731">
        <f>AZ$52*$I$75/(0.082*$BD$73)</f>
        <v>0</v>
      </c>
      <c r="BA76" s="731">
        <f>BA$52*$I$75/(0.082*$BD$73)</f>
        <v>7.0467276522675107E-2</v>
      </c>
      <c r="BB76" s="731">
        <f t="shared" ref="BB76:BJ76" si="134">BB$52*$I$75/(0.082*$BD$73)</f>
        <v>0.28847728695568775</v>
      </c>
      <c r="BC76" s="731">
        <f t="shared" si="134"/>
        <v>2.9299481883436569E-2</v>
      </c>
      <c r="BD76" s="731">
        <f t="shared" si="134"/>
        <v>3.1070838003989805E-2</v>
      </c>
      <c r="BE76" s="731">
        <f t="shared" si="134"/>
        <v>2.3019466635760901E-2</v>
      </c>
      <c r="BF76" s="731">
        <f t="shared" si="134"/>
        <v>2.2937837321449696E-2</v>
      </c>
      <c r="BG76" s="731">
        <f t="shared" si="134"/>
        <v>2.3786782190286265E-2</v>
      </c>
      <c r="BH76" s="731">
        <f t="shared" si="134"/>
        <v>0</v>
      </c>
      <c r="BI76" s="731">
        <f t="shared" si="134"/>
        <v>0</v>
      </c>
      <c r="BJ76" s="731">
        <f t="shared" si="134"/>
        <v>0</v>
      </c>
      <c r="BL76" s="2" t="s">
        <v>387</v>
      </c>
    </row>
    <row r="77" spans="3:64" x14ac:dyDescent="0.25">
      <c r="C77" s="2" t="s">
        <v>389</v>
      </c>
      <c r="D77" s="685" t="s">
        <v>130</v>
      </c>
      <c r="E77" s="682">
        <v>36</v>
      </c>
      <c r="F77" s="685" t="s">
        <v>404</v>
      </c>
      <c r="G77" s="682">
        <v>8</v>
      </c>
      <c r="H77" s="3" t="s">
        <v>411</v>
      </c>
      <c r="I77" s="682">
        <f t="shared" si="131"/>
        <v>44</v>
      </c>
      <c r="AL77" s="520" t="s">
        <v>272</v>
      </c>
      <c r="AN77" s="731">
        <f t="shared" ref="AN77" si="135">AN$47*AN39/100</f>
        <v>0</v>
      </c>
      <c r="AO77" s="731">
        <f t="shared" ref="AO77:AW77" si="136">AO$47*AO39/100</f>
        <v>0.98959750000000013</v>
      </c>
      <c r="AP77" s="731">
        <f t="shared" si="136"/>
        <v>1.0180739130434782</v>
      </c>
      <c r="AQ77" s="731">
        <f t="shared" si="136"/>
        <v>1.5724531914893618</v>
      </c>
      <c r="AR77" s="731">
        <f t="shared" si="136"/>
        <v>1.731344680851064</v>
      </c>
      <c r="AS77" s="731">
        <f t="shared" si="136"/>
        <v>1.6066893617021276</v>
      </c>
      <c r="AT77" s="731">
        <f t="shared" si="136"/>
        <v>1.6206723404255319</v>
      </c>
      <c r="AU77" s="731">
        <f t="shared" si="136"/>
        <v>1.7660285714285715</v>
      </c>
      <c r="AV77" s="731">
        <f t="shared" si="136"/>
        <v>0</v>
      </c>
      <c r="AW77" s="731">
        <f t="shared" si="136"/>
        <v>0</v>
      </c>
      <c r="AX77" s="731">
        <f t="shared" ref="AX77" si="137">AX$47*AX39/100</f>
        <v>0</v>
      </c>
      <c r="AY77" s="694"/>
      <c r="AZ77" s="731">
        <f t="shared" ref="AZ77:BJ77" si="138">AZ$53*$I$76/(0.082*$BD$73)</f>
        <v>0</v>
      </c>
      <c r="BA77" s="731">
        <f t="shared" si="138"/>
        <v>6.6063071740007917E-2</v>
      </c>
      <c r="BB77" s="731">
        <f t="shared" si="138"/>
        <v>0.18029830434730487</v>
      </c>
      <c r="BC77" s="731">
        <f t="shared" si="138"/>
        <v>0.64550421024446203</v>
      </c>
      <c r="BD77" s="731">
        <f t="shared" si="138"/>
        <v>3.3728212306962622E-2</v>
      </c>
      <c r="BE77" s="731">
        <f t="shared" si="138"/>
        <v>3.7406633283111473E-2</v>
      </c>
      <c r="BF77" s="731">
        <f t="shared" si="138"/>
        <v>3.7273985647355755E-2</v>
      </c>
      <c r="BG77" s="731">
        <f t="shared" si="138"/>
        <v>5.0971676122042009E-2</v>
      </c>
      <c r="BH77" s="731">
        <f t="shared" si="138"/>
        <v>0</v>
      </c>
      <c r="BI77" s="731">
        <f t="shared" si="138"/>
        <v>0</v>
      </c>
      <c r="BJ77" s="731">
        <f t="shared" si="138"/>
        <v>0</v>
      </c>
      <c r="BL77" s="2" t="s">
        <v>388</v>
      </c>
    </row>
    <row r="78" spans="3:64" x14ac:dyDescent="0.25">
      <c r="C78" s="2" t="s">
        <v>390</v>
      </c>
      <c r="D78" s="685" t="s">
        <v>398</v>
      </c>
      <c r="E78" s="682">
        <v>48</v>
      </c>
      <c r="F78" s="685" t="s">
        <v>406</v>
      </c>
      <c r="G78" s="682">
        <v>10</v>
      </c>
      <c r="H78" s="3" t="s">
        <v>412</v>
      </c>
      <c r="I78" s="682">
        <f t="shared" si="131"/>
        <v>58</v>
      </c>
      <c r="AL78" s="520" t="s">
        <v>273</v>
      </c>
      <c r="AN78" s="731">
        <f t="shared" ref="AN78" si="139">AN$47*AN40/100</f>
        <v>0</v>
      </c>
      <c r="AO78" s="731">
        <f t="shared" ref="AO78:AW78" si="140">AO$47*AO40/100</f>
        <v>1.3486549999999999</v>
      </c>
      <c r="AP78" s="731">
        <f t="shared" si="140"/>
        <v>1.3142408695652172</v>
      </c>
      <c r="AQ78" s="731">
        <f t="shared" si="140"/>
        <v>2.2014344680851061</v>
      </c>
      <c r="AR78" s="731">
        <f t="shared" si="140"/>
        <v>2.3236468085106385</v>
      </c>
      <c r="AS78" s="731">
        <f t="shared" si="140"/>
        <v>2.3948765957446811</v>
      </c>
      <c r="AT78" s="731">
        <f t="shared" si="140"/>
        <v>2.4157191489361707</v>
      </c>
      <c r="AU78" s="731">
        <f t="shared" si="140"/>
        <v>2.3442857142857143</v>
      </c>
      <c r="AV78" s="731">
        <f t="shared" si="140"/>
        <v>0</v>
      </c>
      <c r="AW78" s="731">
        <f t="shared" si="140"/>
        <v>0</v>
      </c>
      <c r="AX78" s="731">
        <f t="shared" ref="AX78" si="141">AX$47*AX40/100</f>
        <v>0</v>
      </c>
      <c r="AY78" s="694"/>
      <c r="AZ78" s="731">
        <f>AZ$54*$I$77/(0.082*$BD$73)</f>
        <v>0</v>
      </c>
      <c r="BA78" s="731">
        <f>BA$54*$I$77/(0.082*$BD$73)</f>
        <v>0.29067751565603489</v>
      </c>
      <c r="BB78" s="731">
        <f t="shared" ref="BB78:BJ78" si="142">BB$54*$I$77/(0.082*$BD$73)</f>
        <v>1.7188438347776394</v>
      </c>
      <c r="BC78" s="731">
        <f t="shared" si="142"/>
        <v>0.94673950835854426</v>
      </c>
      <c r="BD78" s="731">
        <f t="shared" si="142"/>
        <v>5.8462234665401888E-2</v>
      </c>
      <c r="BE78" s="731">
        <f t="shared" si="142"/>
        <v>8.4404710997789983E-2</v>
      </c>
      <c r="BF78" s="731">
        <f t="shared" si="142"/>
        <v>8.4105403511982202E-2</v>
      </c>
      <c r="BG78" s="731">
        <f t="shared" si="142"/>
        <v>7.9430861956848786E-2</v>
      </c>
      <c r="BH78" s="731">
        <f t="shared" si="142"/>
        <v>0</v>
      </c>
      <c r="BI78" s="731">
        <f t="shared" si="142"/>
        <v>0</v>
      </c>
      <c r="BJ78" s="731">
        <f t="shared" si="142"/>
        <v>0</v>
      </c>
      <c r="BL78" s="2" t="s">
        <v>389</v>
      </c>
    </row>
    <row r="79" spans="3:64" x14ac:dyDescent="0.25">
      <c r="C79" s="2" t="s">
        <v>391</v>
      </c>
      <c r="D79" s="685" t="s">
        <v>399</v>
      </c>
      <c r="E79" s="682">
        <v>60</v>
      </c>
      <c r="F79" s="685" t="s">
        <v>407</v>
      </c>
      <c r="G79" s="682">
        <v>12</v>
      </c>
      <c r="H79" s="3" t="s">
        <v>413</v>
      </c>
      <c r="I79" s="682">
        <f t="shared" si="131"/>
        <v>72</v>
      </c>
      <c r="AL79" s="520" t="s">
        <v>274</v>
      </c>
      <c r="AN79" s="731">
        <f t="shared" ref="AN79" si="143">AN$47*AN41/100</f>
        <v>0</v>
      </c>
      <c r="AO79" s="731">
        <f t="shared" ref="AO79:AW79" si="144">AO$47*AO41/100</f>
        <v>0.44663249999999999</v>
      </c>
      <c r="AP79" s="731">
        <f t="shared" si="144"/>
        <v>0.4257399999999999</v>
      </c>
      <c r="AQ79" s="731">
        <f t="shared" si="144"/>
        <v>0.82366595744680848</v>
      </c>
      <c r="AR79" s="731">
        <f t="shared" si="144"/>
        <v>0.72898723404255317</v>
      </c>
      <c r="AS79" s="731">
        <f t="shared" si="144"/>
        <v>0.86397446808510636</v>
      </c>
      <c r="AT79" s="731">
        <f t="shared" si="144"/>
        <v>0.87149361702127659</v>
      </c>
      <c r="AU79" s="731">
        <f t="shared" si="144"/>
        <v>0.7970571428571428</v>
      </c>
      <c r="AV79" s="731">
        <f t="shared" si="144"/>
        <v>0</v>
      </c>
      <c r="AW79" s="731">
        <f t="shared" si="144"/>
        <v>0</v>
      </c>
      <c r="AX79" s="731">
        <f t="shared" ref="AX79" si="145">AX$47*AX41/100</f>
        <v>0</v>
      </c>
      <c r="AY79" s="694"/>
      <c r="AZ79" s="731">
        <f>AZ$55*$I$78/(0.082*$BD$73)</f>
        <v>0</v>
      </c>
      <c r="BA79" s="731">
        <f>BA$55*$I$78/(0.082*$BD$73)</f>
        <v>0.51088775478939452</v>
      </c>
      <c r="BB79" s="731">
        <f t="shared" ref="BB79:BJ79" si="146">BB$55*$I$78/(0.082*$BD$73)</f>
        <v>2.0043161499942053</v>
      </c>
      <c r="BC79" s="731">
        <f t="shared" si="146"/>
        <v>0.46799055242723492</v>
      </c>
      <c r="BD79" s="731">
        <f t="shared" si="146"/>
        <v>2.371195531883433E-2</v>
      </c>
      <c r="BE79" s="731">
        <f t="shared" si="146"/>
        <v>4.4504302162471074E-2</v>
      </c>
      <c r="BF79" s="731">
        <f t="shared" si="146"/>
        <v>4.4346485488136085E-2</v>
      </c>
      <c r="BG79" s="731">
        <f t="shared" si="146"/>
        <v>3.0795387657067037E-2</v>
      </c>
      <c r="BH79" s="731">
        <f t="shared" si="146"/>
        <v>0</v>
      </c>
      <c r="BI79" s="731">
        <f t="shared" si="146"/>
        <v>0</v>
      </c>
      <c r="BJ79" s="731">
        <f t="shared" si="146"/>
        <v>0</v>
      </c>
      <c r="BL79" s="2" t="s">
        <v>390</v>
      </c>
    </row>
    <row r="80" spans="3:64" x14ac:dyDescent="0.25">
      <c r="C80" s="2" t="s">
        <v>392</v>
      </c>
      <c r="D80" s="685" t="s">
        <v>400</v>
      </c>
      <c r="E80" s="682">
        <v>72</v>
      </c>
      <c r="F80" s="685" t="s">
        <v>408</v>
      </c>
      <c r="G80" s="682">
        <v>14</v>
      </c>
      <c r="H80" s="3" t="s">
        <v>414</v>
      </c>
      <c r="I80" s="682">
        <f t="shared" si="131"/>
        <v>86</v>
      </c>
      <c r="AL80" s="520" t="s">
        <v>275</v>
      </c>
      <c r="AN80" s="731">
        <f t="shared" ref="AN80" si="147">AN$47*AN42/100</f>
        <v>0</v>
      </c>
      <c r="AO80" s="731">
        <f t="shared" ref="AO80:AW80" si="148">AO$47*AO42/100</f>
        <v>0.60426750000000007</v>
      </c>
      <c r="AP80" s="731">
        <f t="shared" si="148"/>
        <v>0.74041739130434781</v>
      </c>
      <c r="AQ80" s="731">
        <f t="shared" si="148"/>
        <v>1.3777685106382977</v>
      </c>
      <c r="AR80" s="731">
        <f t="shared" si="148"/>
        <v>0.95679574468085105</v>
      </c>
      <c r="AS80" s="731">
        <f t="shared" si="148"/>
        <v>1.3490127659574469</v>
      </c>
      <c r="AT80" s="731">
        <f t="shared" si="148"/>
        <v>1.3607531914893618</v>
      </c>
      <c r="AU80" s="731">
        <f t="shared" si="148"/>
        <v>1.3128</v>
      </c>
      <c r="AV80" s="731">
        <f t="shared" si="148"/>
        <v>0</v>
      </c>
      <c r="AW80" s="731">
        <f t="shared" si="148"/>
        <v>0</v>
      </c>
      <c r="AX80" s="731">
        <f t="shared" ref="AX80" si="149">AX$47*AX42/100</f>
        <v>0</v>
      </c>
      <c r="AY80" s="694"/>
      <c r="AZ80" s="731">
        <f>AZ$56*$I$79/(0.082*$BD$73)</f>
        <v>0</v>
      </c>
      <c r="BA80" s="731">
        <f>BA$56*$I$79/(0.082*$BD$73)</f>
        <v>0.634205488704076</v>
      </c>
      <c r="BB80" s="731">
        <f t="shared" ref="BB80:BJ80" si="150">BB$56*$I$79/(0.082*$BD$73)</f>
        <v>1.4063267739089778</v>
      </c>
      <c r="BC80" s="731">
        <f t="shared" si="150"/>
        <v>0.96825631536669288</v>
      </c>
      <c r="BD80" s="731">
        <f t="shared" si="150"/>
        <v>5.1512178796088361E-2</v>
      </c>
      <c r="BE80" s="731">
        <f t="shared" si="150"/>
        <v>7.5964239898010988E-2</v>
      </c>
      <c r="BF80" s="731">
        <f t="shared" si="150"/>
        <v>7.5694863160783998E-2</v>
      </c>
      <c r="BG80" s="731">
        <f t="shared" si="150"/>
        <v>2.2937254254918899E-2</v>
      </c>
      <c r="BH80" s="731">
        <f t="shared" si="150"/>
        <v>0</v>
      </c>
      <c r="BI80" s="731">
        <f t="shared" si="150"/>
        <v>0</v>
      </c>
      <c r="BJ80" s="731">
        <f t="shared" si="150"/>
        <v>0</v>
      </c>
      <c r="BL80" s="2" t="s">
        <v>391</v>
      </c>
    </row>
    <row r="81" spans="3:64" x14ac:dyDescent="0.25">
      <c r="C81" s="2" t="s">
        <v>393</v>
      </c>
      <c r="D81" s="685" t="s">
        <v>352</v>
      </c>
      <c r="E81" s="682">
        <v>32</v>
      </c>
      <c r="F81" s="685" t="s">
        <v>401</v>
      </c>
      <c r="G81" s="682">
        <v>2</v>
      </c>
      <c r="H81" s="3" t="s">
        <v>268</v>
      </c>
      <c r="I81" s="682">
        <f t="shared" si="131"/>
        <v>34</v>
      </c>
      <c r="AL81" s="520" t="s">
        <v>276</v>
      </c>
      <c r="AN81" s="731">
        <f t="shared" ref="AN81" si="151">AN$47*AN43/100</f>
        <v>0</v>
      </c>
      <c r="AO81" s="731">
        <f t="shared" ref="AO81:AW81" si="152">AO$47*AO43/100</f>
        <v>0.37657249999999998</v>
      </c>
      <c r="AP81" s="731">
        <f t="shared" si="152"/>
        <v>0.4257399999999999</v>
      </c>
      <c r="AQ81" s="731">
        <f t="shared" si="152"/>
        <v>0.7487872340425531</v>
      </c>
      <c r="AR81" s="731">
        <f t="shared" si="152"/>
        <v>0.34930638297872335</v>
      </c>
      <c r="AS81" s="731">
        <f t="shared" si="152"/>
        <v>0.40925106382978726</v>
      </c>
      <c r="AT81" s="731">
        <f t="shared" si="152"/>
        <v>0.41281276595744687</v>
      </c>
      <c r="AU81" s="731">
        <f t="shared" si="152"/>
        <v>0.71891428571428562</v>
      </c>
      <c r="AV81" s="731">
        <f t="shared" si="152"/>
        <v>0</v>
      </c>
      <c r="AW81" s="731">
        <f t="shared" si="152"/>
        <v>0</v>
      </c>
      <c r="AX81" s="731">
        <f t="shared" ref="AX81" si="153">AX$47*AX43/100</f>
        <v>0</v>
      </c>
      <c r="AY81" s="694"/>
      <c r="AZ81" s="731">
        <f>AZ$57*$I$80/(0.082*$BD$73)</f>
        <v>0</v>
      </c>
      <c r="BA81" s="731">
        <f>BA$57*$I$80/(0.082*$BD$73)</f>
        <v>1.515046445237515</v>
      </c>
      <c r="BB81" s="731">
        <f t="shared" ref="BB81:BJ81" si="154">BB$57*$I$80/(0.082*$BD$73)</f>
        <v>3.4887721891203491</v>
      </c>
      <c r="BC81" s="731">
        <f t="shared" si="154"/>
        <v>2.0817510780383901</v>
      </c>
      <c r="BD81" s="731">
        <f t="shared" si="154"/>
        <v>4.39488827030119E-2</v>
      </c>
      <c r="BE81" s="731">
        <f t="shared" si="154"/>
        <v>3.2994568844590622E-2</v>
      </c>
      <c r="BF81" s="731">
        <f t="shared" si="154"/>
        <v>3.2877566827411234E-2</v>
      </c>
      <c r="BG81" s="731">
        <f t="shared" si="154"/>
        <v>2.7397275915597569E-2</v>
      </c>
      <c r="BH81" s="731">
        <f t="shared" si="154"/>
        <v>0</v>
      </c>
      <c r="BI81" s="731">
        <f t="shared" si="154"/>
        <v>0</v>
      </c>
      <c r="BJ81" s="731">
        <f t="shared" si="154"/>
        <v>0</v>
      </c>
      <c r="BL81" s="2" t="s">
        <v>392</v>
      </c>
    </row>
    <row r="82" spans="3:64" x14ac:dyDescent="0.25">
      <c r="C82" s="2" t="s">
        <v>394</v>
      </c>
      <c r="D82" s="685" t="s">
        <v>351</v>
      </c>
      <c r="E82" s="682">
        <v>14</v>
      </c>
      <c r="F82" s="685" t="s">
        <v>403</v>
      </c>
      <c r="G82" s="682">
        <v>3</v>
      </c>
      <c r="H82" s="3" t="s">
        <v>269</v>
      </c>
      <c r="I82" s="682">
        <f t="shared" si="131"/>
        <v>17</v>
      </c>
      <c r="AL82" s="520"/>
      <c r="BL82" s="2"/>
    </row>
    <row r="83" spans="3:64" x14ac:dyDescent="0.25">
      <c r="D83" s="706"/>
      <c r="E83" s="706"/>
      <c r="F83" s="706"/>
      <c r="G83" s="706"/>
      <c r="H83" s="706"/>
      <c r="I83" s="706"/>
      <c r="J83" s="706"/>
      <c r="K83" s="706"/>
      <c r="L83" s="706"/>
      <c r="M83" s="706"/>
      <c r="N83" s="706"/>
      <c r="AL83" s="736"/>
      <c r="AN83" s="4"/>
      <c r="AO83" s="4"/>
      <c r="AP83" s="4"/>
      <c r="AQ83" s="4"/>
      <c r="AR83" s="708" t="s">
        <v>425</v>
      </c>
      <c r="AS83" s="4"/>
      <c r="AT83" s="4"/>
      <c r="AU83" s="4"/>
      <c r="AV83" s="4"/>
      <c r="AW83" s="4"/>
      <c r="AX83" s="4"/>
      <c r="AZ83" s="4"/>
      <c r="BA83" s="4"/>
      <c r="BB83" s="4"/>
      <c r="BC83" s="4"/>
      <c r="BD83" s="708" t="s">
        <v>426</v>
      </c>
      <c r="BE83" s="4"/>
      <c r="BF83" s="4"/>
      <c r="BG83" s="4"/>
      <c r="BH83" s="4"/>
      <c r="BI83" s="4"/>
      <c r="BJ83" s="4"/>
    </row>
    <row r="84" spans="3:64" x14ac:dyDescent="0.25">
      <c r="AL84" s="520" t="s">
        <v>449</v>
      </c>
      <c r="AN84" s="692"/>
      <c r="BL84" s="2" t="s">
        <v>450</v>
      </c>
    </row>
    <row r="85" spans="3:64" x14ac:dyDescent="0.25">
      <c r="AL85" s="520" t="s">
        <v>271</v>
      </c>
      <c r="AN85" s="814">
        <f>($E$75/$I$75)*AN76</f>
        <v>0</v>
      </c>
      <c r="AO85" s="814">
        <f>($E$75/$I$75)*AO76</f>
        <v>0.93267374999999997</v>
      </c>
      <c r="AP85" s="814">
        <f t="shared" ref="AP85:AW85" si="155">($E$75/$I$75)*AP76</f>
        <v>0.99262206521739116</v>
      </c>
      <c r="AQ85" s="814">
        <f t="shared" si="155"/>
        <v>1.4938305319148937</v>
      </c>
      <c r="AR85" s="814">
        <f t="shared" si="155"/>
        <v>1.5946595744680852</v>
      </c>
      <c r="AS85" s="814">
        <f t="shared" si="155"/>
        <v>1.5005872340425532</v>
      </c>
      <c r="AT85" s="814">
        <f t="shared" si="155"/>
        <v>1.5136468085106385</v>
      </c>
      <c r="AU85" s="814">
        <f t="shared" si="155"/>
        <v>1.6761642857142858</v>
      </c>
      <c r="AV85" s="814">
        <f t="shared" si="155"/>
        <v>0</v>
      </c>
      <c r="AW85" s="814">
        <f t="shared" si="155"/>
        <v>0</v>
      </c>
      <c r="AX85" s="814">
        <f t="shared" ref="AX85" si="156">($E$75/$I$75)*AX76</f>
        <v>0</v>
      </c>
      <c r="AY85" s="694"/>
      <c r="AZ85" s="731">
        <f>$E$75/$I$75*AZ$76</f>
        <v>0</v>
      </c>
      <c r="BA85" s="731">
        <f>$E$75/$I$75*BA$76</f>
        <v>5.2850457392006334E-2</v>
      </c>
      <c r="BB85" s="731">
        <f t="shared" ref="BB85:BJ85" si="157">$E$75/$I$75*BB$76</f>
        <v>0.21635796521676581</v>
      </c>
      <c r="BC85" s="731">
        <f t="shared" si="157"/>
        <v>2.1974611412577429E-2</v>
      </c>
      <c r="BD85" s="731">
        <f t="shared" si="157"/>
        <v>2.3303128502992355E-2</v>
      </c>
      <c r="BE85" s="731">
        <f t="shared" si="157"/>
        <v>1.7264599976820675E-2</v>
      </c>
      <c r="BF85" s="731">
        <f t="shared" si="157"/>
        <v>1.7203377991087274E-2</v>
      </c>
      <c r="BG85" s="731">
        <f t="shared" si="157"/>
        <v>1.7840086642714699E-2</v>
      </c>
      <c r="BH85" s="731">
        <f t="shared" si="157"/>
        <v>0</v>
      </c>
      <c r="BI85" s="731">
        <f t="shared" si="157"/>
        <v>0</v>
      </c>
      <c r="BJ85" s="731">
        <f t="shared" si="157"/>
        <v>0</v>
      </c>
      <c r="BL85" s="2" t="s">
        <v>271</v>
      </c>
    </row>
    <row r="86" spans="3:64" x14ac:dyDescent="0.25">
      <c r="AL86" s="520" t="s">
        <v>272</v>
      </c>
      <c r="AN86" s="814">
        <f t="shared" ref="AN86" si="158">($E$76/$I$76)*AN77</f>
        <v>0</v>
      </c>
      <c r="AO86" s="814">
        <f t="shared" ref="AO86:AV86" si="159">($E$76/$I$76)*AO77</f>
        <v>0.7916780000000001</v>
      </c>
      <c r="AP86" s="814">
        <f t="shared" si="159"/>
        <v>0.81445913043478257</v>
      </c>
      <c r="AQ86" s="814">
        <f t="shared" si="159"/>
        <v>1.2579625531914895</v>
      </c>
      <c r="AR86" s="814">
        <f t="shared" si="159"/>
        <v>1.3850757446808513</v>
      </c>
      <c r="AS86" s="814">
        <f t="shared" si="159"/>
        <v>1.2853514893617022</v>
      </c>
      <c r="AT86" s="814">
        <f t="shared" si="159"/>
        <v>1.2965378723404255</v>
      </c>
      <c r="AU86" s="814">
        <f t="shared" si="159"/>
        <v>1.4128228571428574</v>
      </c>
      <c r="AV86" s="814">
        <f t="shared" si="159"/>
        <v>0</v>
      </c>
      <c r="AW86" s="814">
        <f>($E$76/$I$76)*AW77</f>
        <v>0</v>
      </c>
      <c r="AX86" s="814">
        <f>($E$76/$I$76)*AX77</f>
        <v>0</v>
      </c>
      <c r="AZ86" s="731">
        <f t="shared" ref="AZ86:BJ86" si="160">$G$76/$I$76*AZ$77</f>
        <v>0</v>
      </c>
      <c r="BA86" s="731">
        <f t="shared" si="160"/>
        <v>1.3212614348001583E-2</v>
      </c>
      <c r="BB86" s="731">
        <f t="shared" si="160"/>
        <v>3.6059660869460976E-2</v>
      </c>
      <c r="BC86" s="731">
        <f t="shared" si="160"/>
        <v>0.12910084204889241</v>
      </c>
      <c r="BD86" s="731">
        <f t="shared" si="160"/>
        <v>6.7456424613925245E-3</v>
      </c>
      <c r="BE86" s="731">
        <f t="shared" si="160"/>
        <v>7.4813266566222947E-3</v>
      </c>
      <c r="BF86" s="731">
        <f t="shared" si="160"/>
        <v>7.4547971294711517E-3</v>
      </c>
      <c r="BG86" s="731">
        <f t="shared" si="160"/>
        <v>1.0194335224408402E-2</v>
      </c>
      <c r="BH86" s="731">
        <f t="shared" si="160"/>
        <v>0</v>
      </c>
      <c r="BI86" s="731">
        <f t="shared" si="160"/>
        <v>0</v>
      </c>
      <c r="BJ86" s="731">
        <f t="shared" si="160"/>
        <v>0</v>
      </c>
      <c r="BL86" s="2" t="s">
        <v>272</v>
      </c>
    </row>
    <row r="87" spans="3:64" x14ac:dyDescent="0.25">
      <c r="AL87" s="520" t="s">
        <v>273</v>
      </c>
      <c r="AN87" s="814">
        <f t="shared" ref="AN87" si="161">($E$77/$I$77)*AN78</f>
        <v>0</v>
      </c>
      <c r="AO87" s="814">
        <f t="shared" ref="AO87:AW87" si="162">($E$77/$I$77)*AO78</f>
        <v>1.103445</v>
      </c>
      <c r="AP87" s="814">
        <f t="shared" si="162"/>
        <v>1.0752879841897232</v>
      </c>
      <c r="AQ87" s="814">
        <f t="shared" si="162"/>
        <v>1.8011736557059961</v>
      </c>
      <c r="AR87" s="814">
        <f t="shared" si="162"/>
        <v>1.9011655705996136</v>
      </c>
      <c r="AS87" s="814">
        <f t="shared" si="162"/>
        <v>1.9594444874274666</v>
      </c>
      <c r="AT87" s="814">
        <f t="shared" si="162"/>
        <v>1.9764974854932307</v>
      </c>
      <c r="AU87" s="814">
        <f t="shared" si="162"/>
        <v>1.9180519480519482</v>
      </c>
      <c r="AV87" s="814">
        <f t="shared" si="162"/>
        <v>0</v>
      </c>
      <c r="AW87" s="814">
        <f t="shared" si="162"/>
        <v>0</v>
      </c>
      <c r="AX87" s="814">
        <f t="shared" ref="AX87" si="163">($E$77/$I$77)*AX78</f>
        <v>0</v>
      </c>
      <c r="AZ87" s="731">
        <f t="shared" ref="AZ87:BJ87" si="164">$E$77/$I$77*AZ$78</f>
        <v>0</v>
      </c>
      <c r="BA87" s="731">
        <f t="shared" si="164"/>
        <v>0.23782705826402856</v>
      </c>
      <c r="BB87" s="731">
        <f t="shared" si="164"/>
        <v>1.4063267739089778</v>
      </c>
      <c r="BC87" s="731">
        <f t="shared" si="164"/>
        <v>0.77460505229335441</v>
      </c>
      <c r="BD87" s="731">
        <f t="shared" si="164"/>
        <v>4.7832737453510639E-2</v>
      </c>
      <c r="BE87" s="731">
        <f t="shared" si="164"/>
        <v>6.9058399907282714E-2</v>
      </c>
      <c r="BF87" s="731">
        <f t="shared" si="164"/>
        <v>6.8813511964349081E-2</v>
      </c>
      <c r="BG87" s="731">
        <f t="shared" si="164"/>
        <v>6.4988887055603559E-2</v>
      </c>
      <c r="BH87" s="731">
        <f t="shared" si="164"/>
        <v>0</v>
      </c>
      <c r="BI87" s="731">
        <f t="shared" si="164"/>
        <v>0</v>
      </c>
      <c r="BJ87" s="731">
        <f t="shared" si="164"/>
        <v>0</v>
      </c>
      <c r="BL87" s="2" t="s">
        <v>273</v>
      </c>
    </row>
    <row r="88" spans="3:64" x14ac:dyDescent="0.25">
      <c r="AL88" s="520" t="s">
        <v>274</v>
      </c>
      <c r="AN88" s="814">
        <f t="shared" ref="AN88" si="165">($E$78/$I$78)*AN79</f>
        <v>0</v>
      </c>
      <c r="AO88" s="814">
        <f t="shared" ref="AO88:AW88" si="166">($E$78/$I$78)*AO79</f>
        <v>0.36962689655172415</v>
      </c>
      <c r="AP88" s="814">
        <f t="shared" si="166"/>
        <v>0.35233655172413786</v>
      </c>
      <c r="AQ88" s="814">
        <f t="shared" si="166"/>
        <v>0.68165458547322078</v>
      </c>
      <c r="AR88" s="814">
        <f t="shared" si="166"/>
        <v>0.60329977989728534</v>
      </c>
      <c r="AS88" s="814">
        <f t="shared" si="166"/>
        <v>0.71501335289801904</v>
      </c>
      <c r="AT88" s="814">
        <f t="shared" si="166"/>
        <v>0.72123609684519441</v>
      </c>
      <c r="AU88" s="814">
        <f t="shared" si="166"/>
        <v>0.65963349753694578</v>
      </c>
      <c r="AV88" s="814">
        <f t="shared" si="166"/>
        <v>0</v>
      </c>
      <c r="AW88" s="814">
        <f t="shared" si="166"/>
        <v>0</v>
      </c>
      <c r="AX88" s="814">
        <f t="shared" ref="AX88" si="167">($E$78/$I$78)*AX79</f>
        <v>0</v>
      </c>
      <c r="AZ88" s="731">
        <f t="shared" ref="AZ88:BJ88" si="168">$E$78/$I$78*AZ$79</f>
        <v>0</v>
      </c>
      <c r="BA88" s="731">
        <f t="shared" si="168"/>
        <v>0.42280365913605061</v>
      </c>
      <c r="BB88" s="731">
        <f t="shared" si="168"/>
        <v>1.6587443999952043</v>
      </c>
      <c r="BC88" s="731">
        <f t="shared" si="168"/>
        <v>0.38730252614667715</v>
      </c>
      <c r="BD88" s="731">
        <f t="shared" si="168"/>
        <v>1.9623687160414616E-2</v>
      </c>
      <c r="BE88" s="731">
        <f t="shared" si="168"/>
        <v>3.6831146617217439E-2</v>
      </c>
      <c r="BF88" s="731">
        <f t="shared" si="168"/>
        <v>3.6700539714319518E-2</v>
      </c>
      <c r="BG88" s="731">
        <f t="shared" si="168"/>
        <v>2.5485838061020994E-2</v>
      </c>
      <c r="BH88" s="731">
        <f t="shared" si="168"/>
        <v>0</v>
      </c>
      <c r="BI88" s="731">
        <f t="shared" si="168"/>
        <v>0</v>
      </c>
      <c r="BJ88" s="731">
        <f t="shared" si="168"/>
        <v>0</v>
      </c>
      <c r="BL88" s="2" t="s">
        <v>274</v>
      </c>
    </row>
    <row r="89" spans="3:64" x14ac:dyDescent="0.25">
      <c r="AL89" s="520" t="s">
        <v>275</v>
      </c>
      <c r="AN89" s="814">
        <f t="shared" ref="AN89" si="169">($E$79/$I$79)*AN80</f>
        <v>0</v>
      </c>
      <c r="AO89" s="814">
        <f t="shared" ref="AO89:AW89" si="170">($E$79/$I$79)*AO80</f>
        <v>0.50355625000000004</v>
      </c>
      <c r="AP89" s="814">
        <f t="shared" si="170"/>
        <v>0.61701449275362319</v>
      </c>
      <c r="AQ89" s="814">
        <f t="shared" si="170"/>
        <v>1.1481404255319148</v>
      </c>
      <c r="AR89" s="814">
        <f t="shared" si="170"/>
        <v>0.79732978723404258</v>
      </c>
      <c r="AS89" s="814">
        <f t="shared" si="170"/>
        <v>1.1241773049645392</v>
      </c>
      <c r="AT89" s="814">
        <f t="shared" si="170"/>
        <v>1.1339609929078016</v>
      </c>
      <c r="AU89" s="814">
        <f t="shared" si="170"/>
        <v>1.0940000000000001</v>
      </c>
      <c r="AV89" s="814">
        <f t="shared" si="170"/>
        <v>0</v>
      </c>
      <c r="AW89" s="814">
        <f t="shared" si="170"/>
        <v>0</v>
      </c>
      <c r="AX89" s="814">
        <f t="shared" ref="AX89" si="171">($E$79/$I$79)*AX80</f>
        <v>0</v>
      </c>
      <c r="AZ89" s="731">
        <f t="shared" ref="AZ89:BJ89" si="172">$E$79/$I$79*AZ$80</f>
        <v>0</v>
      </c>
      <c r="BA89" s="731">
        <f t="shared" si="172"/>
        <v>0.52850457392006334</v>
      </c>
      <c r="BB89" s="731">
        <f t="shared" si="172"/>
        <v>1.1719389782574816</v>
      </c>
      <c r="BC89" s="731">
        <f t="shared" si="172"/>
        <v>0.80688026280557745</v>
      </c>
      <c r="BD89" s="731">
        <f t="shared" si="172"/>
        <v>4.2926815663406968E-2</v>
      </c>
      <c r="BE89" s="731">
        <f t="shared" si="172"/>
        <v>6.3303533248342495E-2</v>
      </c>
      <c r="BF89" s="731">
        <f t="shared" si="172"/>
        <v>6.3079052633986665E-2</v>
      </c>
      <c r="BG89" s="731">
        <f t="shared" si="172"/>
        <v>1.911437854576575E-2</v>
      </c>
      <c r="BH89" s="731">
        <f t="shared" si="172"/>
        <v>0</v>
      </c>
      <c r="BI89" s="731">
        <f t="shared" si="172"/>
        <v>0</v>
      </c>
      <c r="BJ89" s="731">
        <f t="shared" si="172"/>
        <v>0</v>
      </c>
      <c r="BL89" s="2" t="s">
        <v>275</v>
      </c>
    </row>
    <row r="90" spans="3:64" ht="15.75" thickBot="1" x14ac:dyDescent="0.3">
      <c r="H90" s="2" t="s">
        <v>445</v>
      </c>
      <c r="T90" s="2" t="s">
        <v>444</v>
      </c>
      <c r="AC90" s="2"/>
      <c r="AD90" s="2"/>
      <c r="AE90" s="2"/>
      <c r="AF90" s="2" t="s">
        <v>443</v>
      </c>
      <c r="AL90" s="520" t="s">
        <v>276</v>
      </c>
      <c r="AN90" s="814">
        <f>($E$80/$I$80)*AN81</f>
        <v>0</v>
      </c>
      <c r="AO90" s="814">
        <f>($E$80/$I$80)*AO81</f>
        <v>0.31526999999999999</v>
      </c>
      <c r="AP90" s="814">
        <f t="shared" ref="AP90:AW90" si="173">($E$80/$I$80)*AP81</f>
        <v>0.35643348837209293</v>
      </c>
      <c r="AQ90" s="814">
        <f t="shared" si="173"/>
        <v>0.62689163780306778</v>
      </c>
      <c r="AR90" s="814">
        <f t="shared" si="173"/>
        <v>0.29244255319148932</v>
      </c>
      <c r="AS90" s="814">
        <f t="shared" si="173"/>
        <v>0.3426287976249382</v>
      </c>
      <c r="AT90" s="814">
        <f t="shared" si="173"/>
        <v>0.34561068777832765</v>
      </c>
      <c r="AU90" s="814">
        <f t="shared" si="173"/>
        <v>0.60188172757475078</v>
      </c>
      <c r="AV90" s="814">
        <f t="shared" si="173"/>
        <v>0</v>
      </c>
      <c r="AW90" s="814">
        <f t="shared" si="173"/>
        <v>0</v>
      </c>
      <c r="AX90" s="814">
        <f t="shared" ref="AX90" si="174">($E$80/$I$80)*AX81</f>
        <v>0</v>
      </c>
      <c r="AZ90" s="731">
        <f t="shared" ref="AZ90:BJ90" si="175">$E$80/$I$80*AZ$81</f>
        <v>0</v>
      </c>
      <c r="BA90" s="731">
        <f t="shared" si="175"/>
        <v>1.2684109774081522</v>
      </c>
      <c r="BB90" s="731">
        <f t="shared" si="175"/>
        <v>2.9208325304263392</v>
      </c>
      <c r="BC90" s="731">
        <f t="shared" si="175"/>
        <v>1.7428613676600475</v>
      </c>
      <c r="BD90" s="731">
        <f t="shared" si="175"/>
        <v>3.6794413425777404E-2</v>
      </c>
      <c r="BE90" s="731">
        <f t="shared" si="175"/>
        <v>2.7623359962913079E-2</v>
      </c>
      <c r="BF90" s="731">
        <f t="shared" si="175"/>
        <v>2.752540478573964E-2</v>
      </c>
      <c r="BG90" s="731">
        <f t="shared" si="175"/>
        <v>2.2937254254918896E-2</v>
      </c>
      <c r="BH90" s="731">
        <f t="shared" si="175"/>
        <v>0</v>
      </c>
      <c r="BI90" s="731">
        <f t="shared" si="175"/>
        <v>0</v>
      </c>
      <c r="BJ90" s="731">
        <f t="shared" si="175"/>
        <v>0</v>
      </c>
      <c r="BL90" s="2" t="s">
        <v>276</v>
      </c>
    </row>
    <row r="91" spans="3:64" ht="15.75" thickBot="1" x14ac:dyDescent="0.3">
      <c r="C91" s="2" t="s">
        <v>442</v>
      </c>
      <c r="D91" s="740"/>
      <c r="E91" s="939">
        <f>E$47*E$34/100</f>
        <v>18.917724821534801</v>
      </c>
      <c r="F91" s="939">
        <f t="shared" ref="F91:N91" si="176">F$47*F$34/100</f>
        <v>18.304196071024865</v>
      </c>
      <c r="G91" s="939">
        <f t="shared" si="176"/>
        <v>18.109605775647303</v>
      </c>
      <c r="H91" s="939">
        <f>H$47*H$34/100</f>
        <v>17.972788699045573</v>
      </c>
      <c r="I91" s="939">
        <f t="shared" si="176"/>
        <v>17.914745090790294</v>
      </c>
      <c r="J91" s="939">
        <f t="shared" si="176"/>
        <v>17.877431342626185</v>
      </c>
      <c r="K91" s="939">
        <f t="shared" si="176"/>
        <v>18.08492737077686</v>
      </c>
      <c r="L91" s="939">
        <f t="shared" si="176"/>
        <v>0</v>
      </c>
      <c r="M91" s="939">
        <f t="shared" si="176"/>
        <v>0</v>
      </c>
      <c r="N91" s="940">
        <f t="shared" si="176"/>
        <v>0</v>
      </c>
      <c r="P91" s="938">
        <f>P73</f>
        <v>0</v>
      </c>
      <c r="Q91" s="939">
        <f>Q73</f>
        <v>14.871719717946988</v>
      </c>
      <c r="R91" s="939">
        <f t="shared" ref="R91:X91" si="177">R73</f>
        <v>16.410283212145938</v>
      </c>
      <c r="S91" s="939">
        <f>S73</f>
        <v>16.073026984617233</v>
      </c>
      <c r="T91" s="939">
        <f>T73</f>
        <v>15.814430645283144</v>
      </c>
      <c r="U91" s="939">
        <f t="shared" si="177"/>
        <v>15.951980288709171</v>
      </c>
      <c r="V91" s="939">
        <f t="shared" si="177"/>
        <v>15.899746129652351</v>
      </c>
      <c r="W91" s="939">
        <f t="shared" si="177"/>
        <v>16.390296685524355</v>
      </c>
      <c r="X91" s="939">
        <f t="shared" si="177"/>
        <v>0</v>
      </c>
      <c r="Y91" s="939">
        <f>Y73</f>
        <v>0</v>
      </c>
      <c r="Z91" s="940">
        <f>Z73</f>
        <v>0</v>
      </c>
      <c r="AB91" s="935">
        <f>AB73</f>
        <v>0</v>
      </c>
      <c r="AC91" s="936">
        <f>AC73</f>
        <v>1.4306868825666539</v>
      </c>
      <c r="AD91" s="936">
        <f>AD73</f>
        <v>2.9737931754518279</v>
      </c>
      <c r="AE91" s="936">
        <f t="shared" ref="AE91:AJ91" si="178">AE73</f>
        <v>3.0608247865993627</v>
      </c>
      <c r="AF91" s="936">
        <f t="shared" si="178"/>
        <v>2.9627497525105029</v>
      </c>
      <c r="AG91" s="936">
        <f t="shared" si="178"/>
        <v>2.8632948584303701</v>
      </c>
      <c r="AH91" s="936">
        <f t="shared" si="178"/>
        <v>2.9981228837305793</v>
      </c>
      <c r="AI91" s="936">
        <f t="shared" si="178"/>
        <v>2.8195509489304311</v>
      </c>
      <c r="AJ91" s="936">
        <f t="shared" si="178"/>
        <v>0</v>
      </c>
      <c r="AK91" s="936">
        <f>AK73</f>
        <v>0</v>
      </c>
      <c r="AL91" s="937">
        <f>AL73</f>
        <v>0</v>
      </c>
      <c r="AN91" s="812"/>
      <c r="AO91" s="812"/>
      <c r="AP91" s="812"/>
      <c r="AQ91" s="812"/>
      <c r="AR91" s="813" t="s">
        <v>453</v>
      </c>
      <c r="AS91" s="812"/>
      <c r="AT91" s="812"/>
      <c r="AU91" s="812"/>
      <c r="AV91" s="812"/>
      <c r="AW91" s="812"/>
      <c r="AX91" s="812"/>
      <c r="AZ91" s="4"/>
      <c r="BA91" s="4"/>
      <c r="BB91" s="4"/>
      <c r="BC91" s="4"/>
      <c r="BD91" s="708" t="s">
        <v>454</v>
      </c>
      <c r="BE91" s="4"/>
      <c r="BF91" s="4"/>
      <c r="BG91" s="4"/>
      <c r="BH91" s="4"/>
      <c r="BI91" s="4"/>
      <c r="BJ91" s="4"/>
    </row>
    <row r="92" spans="3:64" x14ac:dyDescent="0.25">
      <c r="AL92" s="520" t="s">
        <v>271</v>
      </c>
      <c r="AN92" s="731">
        <f>AN$76-AN$85</f>
        <v>0</v>
      </c>
      <c r="AO92" s="731">
        <f>AO$76-AO$85</f>
        <v>0.31089125000000006</v>
      </c>
      <c r="AP92" s="731">
        <f>AP$76-AP$85</f>
        <v>0.33087402173913039</v>
      </c>
      <c r="AQ92" s="731">
        <f t="shared" ref="AQ92:AX92" si="179">AQ$76-AQ$85</f>
        <v>0.49794351063829789</v>
      </c>
      <c r="AR92" s="731">
        <f t="shared" si="179"/>
        <v>0.53155319148936186</v>
      </c>
      <c r="AS92" s="731">
        <f t="shared" si="179"/>
        <v>0.50019574468085093</v>
      </c>
      <c r="AT92" s="731">
        <f t="shared" si="179"/>
        <v>0.50454893617021268</v>
      </c>
      <c r="AU92" s="731">
        <f t="shared" si="179"/>
        <v>0.55872142857142859</v>
      </c>
      <c r="AV92" s="731">
        <f t="shared" si="179"/>
        <v>0</v>
      </c>
      <c r="AW92" s="731">
        <f t="shared" si="179"/>
        <v>0</v>
      </c>
      <c r="AX92" s="731">
        <f t="shared" si="179"/>
        <v>0</v>
      </c>
      <c r="AZ92" s="731">
        <f t="shared" ref="AZ92:BA94" si="180">AZ76-AZ85</f>
        <v>0</v>
      </c>
      <c r="BA92" s="731">
        <f t="shared" si="180"/>
        <v>1.7616819130668773E-2</v>
      </c>
      <c r="BB92" s="731">
        <f t="shared" ref="BB92:BJ92" si="181">BB76-BB85</f>
        <v>7.2119321738921938E-2</v>
      </c>
      <c r="BC92" s="731">
        <f t="shared" si="181"/>
        <v>7.3248704708591406E-3</v>
      </c>
      <c r="BD92" s="731">
        <f t="shared" si="181"/>
        <v>7.7677095009974495E-3</v>
      </c>
      <c r="BE92" s="731">
        <f t="shared" si="181"/>
        <v>5.7548666589402261E-3</v>
      </c>
      <c r="BF92" s="731">
        <f t="shared" si="181"/>
        <v>5.7344593303624222E-3</v>
      </c>
      <c r="BG92" s="731">
        <f t="shared" si="181"/>
        <v>5.9466955475715663E-3</v>
      </c>
      <c r="BH92" s="731">
        <f t="shared" si="181"/>
        <v>0</v>
      </c>
      <c r="BI92" s="731">
        <f t="shared" si="181"/>
        <v>0</v>
      </c>
      <c r="BJ92" s="731">
        <f t="shared" si="181"/>
        <v>0</v>
      </c>
      <c r="BL92" s="2" t="s">
        <v>271</v>
      </c>
    </row>
    <row r="93" spans="3:64" x14ac:dyDescent="0.25">
      <c r="C93" s="712" t="s">
        <v>430</v>
      </c>
      <c r="AL93" s="520" t="s">
        <v>272</v>
      </c>
      <c r="AN93" s="731">
        <f t="shared" ref="AN93:AX93" si="182">AN$77-AN$86</f>
        <v>0</v>
      </c>
      <c r="AO93" s="731">
        <f t="shared" si="182"/>
        <v>0.19791950000000003</v>
      </c>
      <c r="AP93" s="731">
        <f t="shared" si="182"/>
        <v>0.20361478260869559</v>
      </c>
      <c r="AQ93" s="731">
        <f t="shared" si="182"/>
        <v>0.31449063829787227</v>
      </c>
      <c r="AR93" s="731">
        <f t="shared" si="182"/>
        <v>0.3462689361702127</v>
      </c>
      <c r="AS93" s="731">
        <f t="shared" si="182"/>
        <v>0.32133787234042543</v>
      </c>
      <c r="AT93" s="731">
        <f t="shared" si="182"/>
        <v>0.32413446808510638</v>
      </c>
      <c r="AU93" s="731">
        <f t="shared" si="182"/>
        <v>0.35320571428571412</v>
      </c>
      <c r="AV93" s="731">
        <f t="shared" si="182"/>
        <v>0</v>
      </c>
      <c r="AW93" s="731">
        <f t="shared" si="182"/>
        <v>0</v>
      </c>
      <c r="AX93" s="731">
        <f t="shared" si="182"/>
        <v>0</v>
      </c>
      <c r="AZ93" s="731">
        <f t="shared" si="180"/>
        <v>0</v>
      </c>
      <c r="BA93" s="731">
        <f t="shared" si="180"/>
        <v>5.2850457392006334E-2</v>
      </c>
      <c r="BB93" s="731">
        <f t="shared" ref="BB93:BJ93" si="183">BB77-BB86</f>
        <v>0.1442386434778439</v>
      </c>
      <c r="BC93" s="731">
        <f t="shared" si="183"/>
        <v>0.51640336819556965</v>
      </c>
      <c r="BD93" s="731">
        <f t="shared" si="183"/>
        <v>2.6982569845570098E-2</v>
      </c>
      <c r="BE93" s="731">
        <f t="shared" si="183"/>
        <v>2.9925306626489179E-2</v>
      </c>
      <c r="BF93" s="731">
        <f t="shared" si="183"/>
        <v>2.9819188517884603E-2</v>
      </c>
      <c r="BG93" s="731">
        <f t="shared" si="183"/>
        <v>4.0777340897633609E-2</v>
      </c>
      <c r="BH93" s="731">
        <f t="shared" si="183"/>
        <v>0</v>
      </c>
      <c r="BI93" s="731">
        <f t="shared" si="183"/>
        <v>0</v>
      </c>
      <c r="BJ93" s="731">
        <f t="shared" si="183"/>
        <v>0</v>
      </c>
      <c r="BL93" s="2" t="s">
        <v>272</v>
      </c>
    </row>
    <row r="94" spans="3:64" x14ac:dyDescent="0.25">
      <c r="C94" s="709" t="s">
        <v>279</v>
      </c>
      <c r="D94" s="710"/>
      <c r="E94" s="710">
        <f t="shared" ref="E94:L94" si="184">((E$55-Q$55)/E$55)*100</f>
        <v>78.594386895265501</v>
      </c>
      <c r="F94" s="710">
        <f t="shared" si="184"/>
        <v>72.920064207445563</v>
      </c>
      <c r="G94" s="710">
        <f t="shared" si="184"/>
        <v>73.47923552112033</v>
      </c>
      <c r="H94" s="710">
        <f t="shared" si="184"/>
        <v>71.279793716069747</v>
      </c>
      <c r="I94" s="710">
        <f t="shared" si="184"/>
        <v>69.76665631366707</v>
      </c>
      <c r="J94" s="710">
        <f t="shared" si="184"/>
        <v>71.039608608793358</v>
      </c>
      <c r="K94" s="710">
        <f t="shared" si="184"/>
        <v>73.565644707940791</v>
      </c>
      <c r="L94" s="710" t="e">
        <f t="shared" si="184"/>
        <v>#DIV/0!</v>
      </c>
      <c r="M94" s="710" t="e">
        <f t="shared" ref="M94:N94" si="185">((M$55-Y$55)/M$55)*100</f>
        <v>#DIV/0!</v>
      </c>
      <c r="N94" s="710" t="e">
        <f t="shared" si="185"/>
        <v>#DIV/0!</v>
      </c>
      <c r="AL94" s="520" t="s">
        <v>273</v>
      </c>
      <c r="AN94" s="731">
        <f t="shared" ref="AN94:AX94" si="186">AN$78-AN$87</f>
        <v>0</v>
      </c>
      <c r="AO94" s="731">
        <f t="shared" si="186"/>
        <v>0.24520999999999993</v>
      </c>
      <c r="AP94" s="731">
        <f t="shared" si="186"/>
        <v>0.23895288537549408</v>
      </c>
      <c r="AQ94" s="731">
        <f>AQ$78-AQ$87</f>
        <v>0.40026081237911004</v>
      </c>
      <c r="AR94" s="731">
        <f t="shared" si="186"/>
        <v>0.42248123791102499</v>
      </c>
      <c r="AS94" s="731">
        <f t="shared" si="186"/>
        <v>0.43543210831721457</v>
      </c>
      <c r="AT94" s="731">
        <f t="shared" si="186"/>
        <v>0.43922166344294</v>
      </c>
      <c r="AU94" s="731">
        <f t="shared" si="186"/>
        <v>0.42623376623376608</v>
      </c>
      <c r="AV94" s="731">
        <f t="shared" si="186"/>
        <v>0</v>
      </c>
      <c r="AW94" s="731">
        <f t="shared" si="186"/>
        <v>0</v>
      </c>
      <c r="AX94" s="731">
        <f t="shared" si="186"/>
        <v>0</v>
      </c>
      <c r="AZ94" s="731">
        <f t="shared" si="180"/>
        <v>0</v>
      </c>
      <c r="BA94" s="731">
        <f t="shared" si="180"/>
        <v>5.2850457392006334E-2</v>
      </c>
      <c r="BB94" s="731">
        <f t="shared" ref="BB94:BJ94" si="187">BB78-BB87</f>
        <v>0.3125170608686616</v>
      </c>
      <c r="BC94" s="731">
        <f t="shared" si="187"/>
        <v>0.17213445606518984</v>
      </c>
      <c r="BD94" s="731">
        <f t="shared" si="187"/>
        <v>1.0629497211891249E-2</v>
      </c>
      <c r="BE94" s="731">
        <f t="shared" si="187"/>
        <v>1.534631109050727E-2</v>
      </c>
      <c r="BF94" s="731">
        <f t="shared" si="187"/>
        <v>1.5291891547633121E-2</v>
      </c>
      <c r="BG94" s="731">
        <f t="shared" si="187"/>
        <v>1.4441974901245228E-2</v>
      </c>
      <c r="BH94" s="731">
        <f t="shared" si="187"/>
        <v>0</v>
      </c>
      <c r="BI94" s="731">
        <f t="shared" si="187"/>
        <v>0</v>
      </c>
      <c r="BJ94" s="731">
        <f t="shared" si="187"/>
        <v>0</v>
      </c>
      <c r="BL94" s="2" t="s">
        <v>273</v>
      </c>
    </row>
    <row r="95" spans="3:64" x14ac:dyDescent="0.25">
      <c r="C95" s="709" t="s">
        <v>427</v>
      </c>
      <c r="D95" s="710"/>
      <c r="E95" s="710">
        <f>E94</f>
        <v>78.594386895265501</v>
      </c>
      <c r="F95" s="710">
        <f>F$94/F$126</f>
        <v>73.236785544171013</v>
      </c>
      <c r="G95" s="710">
        <f>G$94/G$126</f>
        <v>74.908747771956087</v>
      </c>
      <c r="H95" s="710">
        <f>H$94/H$126</f>
        <v>74.092551353162136</v>
      </c>
      <c r="I95" s="710">
        <f>I$94/I126</f>
        <v>72.566318315525209</v>
      </c>
      <c r="J95" s="710">
        <f t="shared" ref="J95:N95" si="188">J$94/J$126</f>
        <v>73.359196718061781</v>
      </c>
      <c r="K95" s="710">
        <f>K$94/K$126</f>
        <v>74.557367554554332</v>
      </c>
      <c r="L95" s="710" t="e">
        <f t="shared" si="188"/>
        <v>#DIV/0!</v>
      </c>
      <c r="M95" s="710" t="e">
        <f t="shared" si="188"/>
        <v>#DIV/0!</v>
      </c>
      <c r="N95" s="710" t="e">
        <f t="shared" si="188"/>
        <v>#DIV/0!</v>
      </c>
      <c r="AL95" s="520" t="s">
        <v>274</v>
      </c>
      <c r="AN95" s="731">
        <f>AN$79-AN$88</f>
        <v>0</v>
      </c>
      <c r="AO95" s="731">
        <f>AO$79-AO$88</f>
        <v>7.7005603448275839E-2</v>
      </c>
      <c r="AP95" s="731">
        <f>AP$79-AP$88</f>
        <v>7.3403448275862038E-2</v>
      </c>
      <c r="AQ95" s="731">
        <f>AQ$79-AQ$88</f>
        <v>0.14201137197358771</v>
      </c>
      <c r="AR95" s="731">
        <f t="shared" ref="AR95:AX95" si="189">AR$79-AR$88</f>
        <v>0.12568745414526783</v>
      </c>
      <c r="AS95" s="731">
        <f t="shared" si="189"/>
        <v>0.14896111518708732</v>
      </c>
      <c r="AT95" s="731">
        <f t="shared" si="189"/>
        <v>0.15025752017608218</v>
      </c>
      <c r="AU95" s="731">
        <f t="shared" si="189"/>
        <v>0.13742364532019702</v>
      </c>
      <c r="AV95" s="731">
        <f t="shared" si="189"/>
        <v>0</v>
      </c>
      <c r="AW95" s="731">
        <f t="shared" si="189"/>
        <v>0</v>
      </c>
      <c r="AX95" s="731">
        <f t="shared" si="189"/>
        <v>0</v>
      </c>
      <c r="AZ95" s="731">
        <f t="shared" ref="AZ95" si="190">AZ79-AZ88</f>
        <v>0</v>
      </c>
      <c r="BA95" s="731">
        <f t="shared" ref="BA95" si="191">BA79-BA88</f>
        <v>8.8084095653343908E-2</v>
      </c>
      <c r="BB95" s="731">
        <f t="shared" ref="BB95:BJ95" si="192">BB79-BB88</f>
        <v>0.34557174999900098</v>
      </c>
      <c r="BC95" s="731">
        <f t="shared" si="192"/>
        <v>8.0688026280557767E-2</v>
      </c>
      <c r="BD95" s="731">
        <f t="shared" si="192"/>
        <v>4.0882681584197139E-3</v>
      </c>
      <c r="BE95" s="731">
        <f t="shared" si="192"/>
        <v>7.6731555452536349E-3</v>
      </c>
      <c r="BF95" s="731">
        <f t="shared" si="192"/>
        <v>7.6459457738165676E-3</v>
      </c>
      <c r="BG95" s="731">
        <f t="shared" si="192"/>
        <v>5.3095495960460426E-3</v>
      </c>
      <c r="BH95" s="731">
        <f t="shared" si="192"/>
        <v>0</v>
      </c>
      <c r="BI95" s="731">
        <f t="shared" si="192"/>
        <v>0</v>
      </c>
      <c r="BJ95" s="731">
        <f t="shared" si="192"/>
        <v>0</v>
      </c>
      <c r="BL95" s="2" t="s">
        <v>274</v>
      </c>
    </row>
    <row r="96" spans="3:64" x14ac:dyDescent="0.25">
      <c r="C96" s="713" t="s">
        <v>428</v>
      </c>
      <c r="D96" s="718"/>
      <c r="E96" s="718">
        <v>77.2</v>
      </c>
      <c r="F96" s="718">
        <v>76.8</v>
      </c>
      <c r="G96" s="718">
        <v>75.5</v>
      </c>
      <c r="H96" s="718">
        <v>73.8</v>
      </c>
      <c r="I96" s="718">
        <v>73.400000000000006</v>
      </c>
      <c r="J96" s="718">
        <v>74.400000000000006</v>
      </c>
      <c r="K96" s="718"/>
      <c r="L96" s="718"/>
      <c r="M96" s="718"/>
      <c r="N96" s="718"/>
      <c r="AL96" s="520" t="s">
        <v>275</v>
      </c>
      <c r="AN96" s="731">
        <f>AN$80-AN$89</f>
        <v>0</v>
      </c>
      <c r="AO96" s="731">
        <f>AO$80-AO$89</f>
        <v>0.10071125000000003</v>
      </c>
      <c r="AP96" s="731">
        <f>AP$80-AP$89</f>
        <v>0.12340289855072462</v>
      </c>
      <c r="AQ96" s="731">
        <f>AQ$80-AQ$89</f>
        <v>0.229628085106383</v>
      </c>
      <c r="AR96" s="731">
        <f t="shared" ref="AR96:AX96" si="193">AR$80-AR$89</f>
        <v>0.15946595744680847</v>
      </c>
      <c r="AS96" s="731">
        <f t="shared" si="193"/>
        <v>0.22483546099290774</v>
      </c>
      <c r="AT96" s="731">
        <f t="shared" si="193"/>
        <v>0.22679219858156019</v>
      </c>
      <c r="AU96" s="731">
        <f t="shared" si="193"/>
        <v>0.21879999999999988</v>
      </c>
      <c r="AV96" s="731">
        <f t="shared" si="193"/>
        <v>0</v>
      </c>
      <c r="AW96" s="731">
        <f t="shared" si="193"/>
        <v>0</v>
      </c>
      <c r="AX96" s="731">
        <f t="shared" si="193"/>
        <v>0</v>
      </c>
      <c r="AZ96" s="731">
        <f t="shared" ref="AZ96" si="194">AZ80-AZ89</f>
        <v>0</v>
      </c>
      <c r="BA96" s="731">
        <f t="shared" ref="BA96" si="195">BA80-BA89</f>
        <v>0.10570091478401267</v>
      </c>
      <c r="BB96" s="731">
        <f t="shared" ref="BB96:BJ96" si="196">BB80-BB89</f>
        <v>0.23438779565149614</v>
      </c>
      <c r="BC96" s="731">
        <f t="shared" si="196"/>
        <v>0.16137605256111542</v>
      </c>
      <c r="BD96" s="731">
        <f t="shared" si="196"/>
        <v>8.5853631326813923E-3</v>
      </c>
      <c r="BE96" s="731">
        <f t="shared" si="196"/>
        <v>1.2660706649668493E-2</v>
      </c>
      <c r="BF96" s="731">
        <f t="shared" si="196"/>
        <v>1.2615810526797333E-2</v>
      </c>
      <c r="BG96" s="731">
        <f t="shared" si="196"/>
        <v>3.8228757091531493E-3</v>
      </c>
      <c r="BH96" s="731">
        <f t="shared" si="196"/>
        <v>0</v>
      </c>
      <c r="BI96" s="731">
        <f t="shared" si="196"/>
        <v>0</v>
      </c>
      <c r="BJ96" s="731">
        <f t="shared" si="196"/>
        <v>0</v>
      </c>
      <c r="BL96" s="2" t="s">
        <v>275</v>
      </c>
    </row>
    <row r="97" spans="3:64" x14ac:dyDescent="0.25">
      <c r="AL97" s="520" t="s">
        <v>276</v>
      </c>
      <c r="AN97" s="731">
        <f>AN$81-AN$90</f>
        <v>0</v>
      </c>
      <c r="AO97" s="731">
        <f>AO$81-AO$90</f>
        <v>6.1302499999999982E-2</v>
      </c>
      <c r="AP97" s="731">
        <f>AP$81-AP$90</f>
        <v>6.9306511627906964E-2</v>
      </c>
      <c r="AQ97" s="731">
        <f>AQ$81-AQ$90</f>
        <v>0.12189559623948532</v>
      </c>
      <c r="AR97" s="731">
        <f t="shared" ref="AR97:AX97" si="197">AR$81-AR$90</f>
        <v>5.6863829787234033E-2</v>
      </c>
      <c r="AS97" s="731">
        <f t="shared" si="197"/>
        <v>6.6622266204849068E-2</v>
      </c>
      <c r="AT97" s="731">
        <f t="shared" si="197"/>
        <v>6.7202078179119218E-2</v>
      </c>
      <c r="AU97" s="731">
        <f t="shared" si="197"/>
        <v>0.11703255813953484</v>
      </c>
      <c r="AV97" s="731">
        <f t="shared" si="197"/>
        <v>0</v>
      </c>
      <c r="AW97" s="731">
        <f t="shared" si="197"/>
        <v>0</v>
      </c>
      <c r="AX97" s="731">
        <f t="shared" si="197"/>
        <v>0</v>
      </c>
      <c r="AZ97" s="731">
        <f>AZ81-AZ90</f>
        <v>0</v>
      </c>
      <c r="BA97" s="731">
        <f t="shared" ref="BA97" si="198">BA81-BA90</f>
        <v>0.24663546782936274</v>
      </c>
      <c r="BB97" s="731">
        <f t="shared" ref="BB97:BJ97" si="199">BB81-BB90</f>
        <v>0.56793965869400997</v>
      </c>
      <c r="BC97" s="731">
        <f t="shared" si="199"/>
        <v>0.33888971037834259</v>
      </c>
      <c r="BD97" s="731">
        <f t="shared" si="199"/>
        <v>7.1544692772344959E-3</v>
      </c>
      <c r="BE97" s="731">
        <f t="shared" si="199"/>
        <v>5.3712088816775423E-3</v>
      </c>
      <c r="BF97" s="731">
        <f t="shared" si="199"/>
        <v>5.3521620416715938E-3</v>
      </c>
      <c r="BG97" s="731">
        <f t="shared" si="199"/>
        <v>4.460021660678673E-3</v>
      </c>
      <c r="BH97" s="731">
        <f t="shared" si="199"/>
        <v>0</v>
      </c>
      <c r="BI97" s="731">
        <f t="shared" si="199"/>
        <v>0</v>
      </c>
      <c r="BJ97" s="731">
        <f t="shared" si="199"/>
        <v>0</v>
      </c>
      <c r="BL97" s="2" t="s">
        <v>276</v>
      </c>
    </row>
    <row r="98" spans="3:64" ht="18.75" x14ac:dyDescent="0.3">
      <c r="C98" s="743" t="s">
        <v>170</v>
      </c>
    </row>
    <row r="99" spans="3:64" x14ac:dyDescent="0.25">
      <c r="C99" s="2" t="s">
        <v>419</v>
      </c>
      <c r="D99" s="691"/>
      <c r="E99" s="691">
        <f t="shared" ref="E99:L99" si="200">((E$58-Q$58)/E$58)*100</f>
        <v>95.501052496170075</v>
      </c>
      <c r="F99" s="691">
        <f t="shared" si="200"/>
        <v>93.378866406819995</v>
      </c>
      <c r="G99" s="691">
        <f t="shared" si="200"/>
        <v>93.020580690880422</v>
      </c>
      <c r="H99" s="691">
        <f t="shared" si="200"/>
        <v>91.962512846138608</v>
      </c>
      <c r="I99" s="691">
        <f t="shared" si="200"/>
        <v>91.076013663705609</v>
      </c>
      <c r="J99" s="691">
        <f t="shared" si="200"/>
        <v>90.379853700211825</v>
      </c>
      <c r="K99" s="691">
        <f t="shared" si="200"/>
        <v>90.34032683567203</v>
      </c>
      <c r="L99" s="691" t="e">
        <f t="shared" si="200"/>
        <v>#DIV/0!</v>
      </c>
      <c r="M99" s="691" t="e">
        <f t="shared" ref="M99:N99" si="201">((M$58-Y$58)/M$58)*100</f>
        <v>#DIV/0!</v>
      </c>
      <c r="N99" s="691" t="e">
        <f t="shared" si="201"/>
        <v>#DIV/0!</v>
      </c>
    </row>
    <row r="100" spans="3:64" x14ac:dyDescent="0.25">
      <c r="C100" s="2" t="s">
        <v>280</v>
      </c>
      <c r="D100" s="691"/>
      <c r="E100" s="691">
        <f t="shared" ref="E100:L100" si="202">((E$59-Q$59)/E$59)*100</f>
        <v>99.738961652142621</v>
      </c>
      <c r="F100" s="691">
        <f t="shared" si="202"/>
        <v>99.479730948595957</v>
      </c>
      <c r="G100" s="691">
        <f t="shared" si="202"/>
        <v>99.438730830859726</v>
      </c>
      <c r="H100" s="691">
        <f t="shared" si="202"/>
        <v>99.29738941171243</v>
      </c>
      <c r="I100" s="691">
        <f t="shared" si="202"/>
        <v>99.187133983127183</v>
      </c>
      <c r="J100" s="691">
        <f t="shared" si="202"/>
        <v>99.091151179704156</v>
      </c>
      <c r="K100" s="691">
        <f t="shared" si="202"/>
        <v>99.159071554995592</v>
      </c>
      <c r="L100" s="691" t="e">
        <f t="shared" si="202"/>
        <v>#DIV/0!</v>
      </c>
      <c r="M100" s="691" t="e">
        <f t="shared" ref="M100:N100" si="203">((M$59-Y$59)/M$59)*100</f>
        <v>#DIV/0!</v>
      </c>
      <c r="N100" s="691" t="e">
        <f t="shared" si="203"/>
        <v>#DIV/0!</v>
      </c>
      <c r="AN100" s="4"/>
      <c r="AO100" s="4"/>
      <c r="AP100" s="4"/>
      <c r="AQ100" s="4"/>
      <c r="AR100" s="708" t="s">
        <v>455</v>
      </c>
      <c r="AS100" s="4"/>
      <c r="AT100" s="4"/>
      <c r="AU100" s="4"/>
      <c r="AV100" s="4"/>
      <c r="AW100" s="4"/>
      <c r="AX100" s="4"/>
      <c r="AZ100" s="4"/>
      <c r="BA100" s="4"/>
      <c r="BB100" s="4"/>
      <c r="BC100" s="4"/>
      <c r="BD100" s="708" t="s">
        <v>448</v>
      </c>
      <c r="BE100" s="4"/>
      <c r="BF100" s="4"/>
      <c r="BG100" s="4"/>
      <c r="BH100" s="4"/>
      <c r="BI100" s="4"/>
      <c r="BJ100" s="4"/>
    </row>
    <row r="101" spans="3:64" x14ac:dyDescent="0.25">
      <c r="C101" s="2" t="s">
        <v>432</v>
      </c>
      <c r="D101" s="691"/>
      <c r="E101" s="691">
        <f t="shared" ref="E101:N101" si="204">E$99*E$58/100</f>
        <v>1.3610650833333333E-2</v>
      </c>
      <c r="F101" s="691">
        <f t="shared" si="204"/>
        <v>1.2876596521739132E-2</v>
      </c>
      <c r="G101" s="691">
        <f t="shared" si="204"/>
        <v>1.2690825531914893E-2</v>
      </c>
      <c r="H101" s="691">
        <f t="shared" si="204"/>
        <v>1.2451685106382979E-2</v>
      </c>
      <c r="I101" s="691">
        <f t="shared" si="204"/>
        <v>1.2291828085106385E-2</v>
      </c>
      <c r="J101" s="691">
        <f t="shared" si="204"/>
        <v>1.2172466382978727E-2</v>
      </c>
      <c r="K101" s="691">
        <f t="shared" si="204"/>
        <v>1.2308361904761905E-2</v>
      </c>
      <c r="L101" s="691" t="e">
        <f t="shared" si="204"/>
        <v>#DIV/0!</v>
      </c>
      <c r="M101" s="691" t="e">
        <f t="shared" si="204"/>
        <v>#DIV/0!</v>
      </c>
      <c r="N101" s="691" t="e">
        <f t="shared" si="204"/>
        <v>#DIV/0!</v>
      </c>
      <c r="AN101" s="692">
        <f>SUM(AN92:AN97)</f>
        <v>0</v>
      </c>
      <c r="AO101" s="692">
        <f>SUM(AO92:AO97)</f>
        <v>0.99304010344827587</v>
      </c>
      <c r="AP101" s="692">
        <f>SUM(AP92:AP97)</f>
        <v>1.0395545481778137</v>
      </c>
      <c r="AQ101" s="692">
        <f t="shared" ref="AQ101:AX101" si="205">SUM(AQ92:AQ97)</f>
        <v>1.7062300146347362</v>
      </c>
      <c r="AR101" s="692">
        <f>SUM(AR92:AR97)</f>
        <v>1.6423206069499097</v>
      </c>
      <c r="AS101" s="692">
        <f t="shared" si="205"/>
        <v>1.697384567723335</v>
      </c>
      <c r="AT101" s="692">
        <f t="shared" si="205"/>
        <v>1.7121568646350207</v>
      </c>
      <c r="AU101" s="692">
        <f t="shared" si="205"/>
        <v>1.8114171125506406</v>
      </c>
      <c r="AV101" s="692">
        <f t="shared" si="205"/>
        <v>0</v>
      </c>
      <c r="AW101" s="692">
        <f t="shared" si="205"/>
        <v>0</v>
      </c>
      <c r="AX101" s="692">
        <f t="shared" si="205"/>
        <v>0</v>
      </c>
      <c r="AY101" s="684"/>
      <c r="AZ101" s="692">
        <f>SUM(AZ92:AZ97)</f>
        <v>0</v>
      </c>
      <c r="BA101" s="692">
        <f>SUM(BA92:BA97)</f>
        <v>0.56373821218140074</v>
      </c>
      <c r="BB101" s="692">
        <f t="shared" ref="BB101:BJ101" si="206">SUM(BB92:BB97)</f>
        <v>1.6767742304299347</v>
      </c>
      <c r="BC101" s="692">
        <f t="shared" si="206"/>
        <v>1.2768164839516345</v>
      </c>
      <c r="BD101" s="692">
        <f t="shared" si="206"/>
        <v>6.5207877126794406E-2</v>
      </c>
      <c r="BE101" s="692">
        <f t="shared" si="206"/>
        <v>7.6731555452536335E-2</v>
      </c>
      <c r="BF101" s="692">
        <f t="shared" si="206"/>
        <v>7.6459457738165634E-2</v>
      </c>
      <c r="BG101" s="692">
        <f t="shared" si="206"/>
        <v>7.475845831232826E-2</v>
      </c>
      <c r="BH101" s="692">
        <f t="shared" si="206"/>
        <v>0</v>
      </c>
      <c r="BI101" s="692">
        <f t="shared" si="206"/>
        <v>0</v>
      </c>
      <c r="BJ101" s="692">
        <f t="shared" si="206"/>
        <v>0</v>
      </c>
    </row>
    <row r="102" spans="3:64" x14ac:dyDescent="0.25">
      <c r="C102" s="2" t="s">
        <v>433</v>
      </c>
      <c r="D102" s="691"/>
      <c r="E102" s="691">
        <f t="shared" ref="E102:N102" si="207">E$100*E$59/100</f>
        <v>4.615688083333333E-2</v>
      </c>
      <c r="F102" s="691">
        <f t="shared" si="207"/>
        <v>4.4543872173913049E-2</v>
      </c>
      <c r="G102" s="691">
        <f t="shared" si="207"/>
        <v>4.4052166808510637E-2</v>
      </c>
      <c r="H102" s="691">
        <f t="shared" si="207"/>
        <v>4.3657212765957444E-2</v>
      </c>
      <c r="I102" s="691">
        <f t="shared" si="207"/>
        <v>4.3467902127659573E-2</v>
      </c>
      <c r="J102" s="691">
        <f t="shared" si="207"/>
        <v>4.333538893617022E-2</v>
      </c>
      <c r="K102" s="691">
        <f t="shared" si="207"/>
        <v>4.3868413333333328E-2</v>
      </c>
      <c r="L102" s="691" t="e">
        <f t="shared" si="207"/>
        <v>#DIV/0!</v>
      </c>
      <c r="M102" s="691" t="e">
        <f t="shared" si="207"/>
        <v>#DIV/0!</v>
      </c>
      <c r="N102" s="691" t="e">
        <f t="shared" si="207"/>
        <v>#DIV/0!</v>
      </c>
    </row>
    <row r="103" spans="3:64" ht="15.6" customHeight="1" x14ac:dyDescent="0.25">
      <c r="C103" s="2" t="s">
        <v>435</v>
      </c>
      <c r="D103" s="691"/>
      <c r="E103" s="731">
        <f t="shared" ref="E103:M103" si="208">E101+E102</f>
        <v>5.9767531666666665E-2</v>
      </c>
      <c r="F103" s="731">
        <f t="shared" si="208"/>
        <v>5.7420468695652177E-2</v>
      </c>
      <c r="G103" s="731">
        <f t="shared" si="208"/>
        <v>5.6742992340425527E-2</v>
      </c>
      <c r="H103" s="731">
        <f t="shared" si="208"/>
        <v>5.6108897872340427E-2</v>
      </c>
      <c r="I103" s="731">
        <f t="shared" si="208"/>
        <v>5.5759730212765958E-2</v>
      </c>
      <c r="J103" s="731">
        <f t="shared" si="208"/>
        <v>5.5507855319148945E-2</v>
      </c>
      <c r="K103" s="731">
        <f t="shared" si="208"/>
        <v>5.6176775238095236E-2</v>
      </c>
      <c r="L103" s="731" t="e">
        <f t="shared" si="208"/>
        <v>#DIV/0!</v>
      </c>
      <c r="M103" s="731" t="e">
        <f t="shared" si="208"/>
        <v>#DIV/0!</v>
      </c>
      <c r="N103" s="731" t="e">
        <f t="shared" ref="N103" si="209">N101+N102</f>
        <v>#DIV/0!</v>
      </c>
    </row>
    <row r="104" spans="3:64" ht="15.6" customHeight="1" x14ac:dyDescent="0.25">
      <c r="C104" s="722" t="s">
        <v>436</v>
      </c>
      <c r="D104" s="723"/>
      <c r="E104" s="723">
        <f t="shared" ref="E104:N104" si="210">100*E$103/(E$58+E$59)</f>
        <v>98.741134834767948</v>
      </c>
      <c r="F104" s="723">
        <f t="shared" si="210"/>
        <v>98.043266403249319</v>
      </c>
      <c r="G104" s="723">
        <f t="shared" si="210"/>
        <v>97.927560559882366</v>
      </c>
      <c r="H104" s="723">
        <f t="shared" si="210"/>
        <v>97.570373501296331</v>
      </c>
      <c r="I104" s="723">
        <f t="shared" si="210"/>
        <v>97.277349446508381</v>
      </c>
      <c r="J104" s="723">
        <f t="shared" si="210"/>
        <v>97.040053357818181</v>
      </c>
      <c r="K104" s="723">
        <f t="shared" si="210"/>
        <v>97.082674998896437</v>
      </c>
      <c r="L104" s="723" t="e">
        <f t="shared" si="210"/>
        <v>#DIV/0!</v>
      </c>
      <c r="M104" s="723" t="e">
        <f t="shared" si="210"/>
        <v>#DIV/0!</v>
      </c>
      <c r="N104" s="723" t="e">
        <f t="shared" si="210"/>
        <v>#DIV/0!</v>
      </c>
    </row>
    <row r="105" spans="3:64" ht="15.75" x14ac:dyDescent="0.25">
      <c r="C105" s="744" t="s">
        <v>429</v>
      </c>
      <c r="D105" s="719"/>
      <c r="E105" s="719">
        <v>98</v>
      </c>
      <c r="F105" s="719">
        <v>97.5</v>
      </c>
      <c r="G105" s="719">
        <v>97</v>
      </c>
      <c r="H105" s="719">
        <v>96.6</v>
      </c>
      <c r="I105" s="719">
        <v>96.4</v>
      </c>
      <c r="J105" s="719">
        <v>96</v>
      </c>
      <c r="K105" s="719"/>
      <c r="L105" s="719"/>
      <c r="M105" s="719"/>
      <c r="N105" s="719"/>
    </row>
    <row r="106" spans="3:64" x14ac:dyDescent="0.25">
      <c r="C106" s="2" t="s">
        <v>420</v>
      </c>
      <c r="D106" s="691"/>
      <c r="E106" s="691">
        <f t="shared" ref="E106:L106" si="211">((E$60-Q$60)/E$60)*100</f>
        <v>75.048803150303087</v>
      </c>
      <c r="F106" s="691">
        <f t="shared" si="211"/>
        <v>91.305563574678445</v>
      </c>
      <c r="G106" s="691">
        <f t="shared" si="211"/>
        <v>98.276122502926626</v>
      </c>
      <c r="H106" s="691">
        <f t="shared" si="211"/>
        <v>96.555131452217026</v>
      </c>
      <c r="I106" s="691">
        <f t="shared" si="211"/>
        <v>97.582628114435138</v>
      </c>
      <c r="J106" s="691">
        <f t="shared" si="211"/>
        <v>98.211894879788858</v>
      </c>
      <c r="K106" s="691">
        <f t="shared" si="211"/>
        <v>98.162420062098988</v>
      </c>
      <c r="L106" s="691" t="e">
        <f t="shared" si="211"/>
        <v>#DIV/0!</v>
      </c>
      <c r="M106" s="691" t="e">
        <f t="shared" ref="M106" si="212">((M$60-Y$60)/M$60)*100</f>
        <v>#DIV/0!</v>
      </c>
      <c r="N106" s="683" t="e">
        <f>((N$60-Z$60)/N$60)*100</f>
        <v>#DIV/0!</v>
      </c>
    </row>
    <row r="107" spans="3:64" ht="6.6" customHeight="1" x14ac:dyDescent="0.25"/>
    <row r="108" spans="3:64" x14ac:dyDescent="0.25">
      <c r="C108" s="722" t="s">
        <v>281</v>
      </c>
      <c r="D108" s="723"/>
      <c r="E108" s="723">
        <f t="shared" ref="E108:L108" si="213">((E$63-(Q$63+AC$63))/E$63)*100</f>
        <v>88.756583985510261</v>
      </c>
      <c r="F108" s="723">
        <f t="shared" si="213"/>
        <v>85.753539128562323</v>
      </c>
      <c r="G108" s="723">
        <f t="shared" si="213"/>
        <v>85.148976274310385</v>
      </c>
      <c r="H108" s="723">
        <f t="shared" si="213"/>
        <v>83.505403419204612</v>
      </c>
      <c r="I108" s="723">
        <f t="shared" si="213"/>
        <v>82.747765305654582</v>
      </c>
      <c r="J108" s="723">
        <f t="shared" si="213"/>
        <v>82.200651241269824</v>
      </c>
      <c r="K108" s="723">
        <f t="shared" si="213"/>
        <v>82.657881216596209</v>
      </c>
      <c r="L108" s="723" t="e">
        <f t="shared" si="213"/>
        <v>#DIV/0!</v>
      </c>
      <c r="M108" s="723" t="e">
        <f t="shared" ref="M108:N108" si="214">((M$63-(Y$63+AK$63))/M$63)*100</f>
        <v>#DIV/0!</v>
      </c>
      <c r="N108" s="723" t="e">
        <f t="shared" si="214"/>
        <v>#DIV/0!</v>
      </c>
    </row>
    <row r="109" spans="3:64" x14ac:dyDescent="0.25">
      <c r="C109" s="713" t="s">
        <v>439</v>
      </c>
      <c r="D109" s="719"/>
      <c r="E109" s="719"/>
      <c r="F109" s="719"/>
      <c r="G109" s="719"/>
      <c r="H109" s="719"/>
      <c r="I109" s="719"/>
      <c r="J109" s="719"/>
      <c r="K109" s="719"/>
      <c r="L109" s="719"/>
      <c r="M109" s="719"/>
      <c r="N109" s="719"/>
    </row>
    <row r="110" spans="3:64" ht="11.1" customHeight="1" x14ac:dyDescent="0.25">
      <c r="D110" s="691"/>
      <c r="E110" s="691"/>
      <c r="F110" s="691"/>
      <c r="G110" s="691"/>
      <c r="H110" s="691"/>
      <c r="I110" s="691"/>
      <c r="J110" s="691"/>
      <c r="K110" s="691"/>
      <c r="L110" s="691"/>
      <c r="M110" s="691"/>
      <c r="N110" s="691"/>
    </row>
    <row r="111" spans="3:64" x14ac:dyDescent="0.25">
      <c r="C111" s="722" t="s">
        <v>282</v>
      </c>
      <c r="D111" s="725"/>
      <c r="E111" s="725">
        <f t="shared" ref="E111:L111" si="215">((E$64-(Q$64+AC$64))/E$64)*100</f>
        <v>54.041814999034202</v>
      </c>
      <c r="F111" s="725">
        <f t="shared" si="215"/>
        <v>44.188814461271356</v>
      </c>
      <c r="G111" s="725">
        <f t="shared" si="215"/>
        <v>43.156592296928565</v>
      </c>
      <c r="H111" s="725">
        <f t="shared" si="215"/>
        <v>39.160317222385871</v>
      </c>
      <c r="I111" s="725">
        <f t="shared" si="215"/>
        <v>37.472235276021429</v>
      </c>
      <c r="J111" s="725">
        <f t="shared" si="215"/>
        <v>34.982062836976944</v>
      </c>
      <c r="K111" s="725">
        <f t="shared" si="215"/>
        <v>32.344673450478894</v>
      </c>
      <c r="L111" s="725" t="e">
        <f t="shared" si="215"/>
        <v>#DIV/0!</v>
      </c>
      <c r="M111" s="725" t="e">
        <f t="shared" ref="M111:N111" si="216">((M$64-(Y$64+AK$64))/M$64)*100</f>
        <v>#DIV/0!</v>
      </c>
      <c r="N111" s="725" t="e">
        <f t="shared" si="216"/>
        <v>#DIV/0!</v>
      </c>
    </row>
    <row r="112" spans="3:64" x14ac:dyDescent="0.25">
      <c r="C112" s="713" t="s">
        <v>439</v>
      </c>
      <c r="D112" s="719"/>
      <c r="E112" s="719"/>
      <c r="F112" s="719"/>
      <c r="G112" s="719"/>
      <c r="H112" s="719"/>
      <c r="I112" s="719"/>
      <c r="J112" s="719"/>
      <c r="K112" s="719"/>
      <c r="L112" s="719"/>
      <c r="M112" s="719"/>
      <c r="N112" s="719"/>
    </row>
    <row r="113" spans="3:14" ht="7.5" customHeight="1" x14ac:dyDescent="0.25">
      <c r="D113" s="691"/>
      <c r="E113" s="691"/>
      <c r="F113" s="691"/>
      <c r="G113" s="691"/>
      <c r="H113" s="691"/>
      <c r="I113" s="691"/>
      <c r="J113" s="691"/>
      <c r="K113" s="691"/>
      <c r="L113" s="691"/>
      <c r="M113" s="691"/>
      <c r="N113" s="691"/>
    </row>
    <row r="114" spans="3:14" x14ac:dyDescent="0.25">
      <c r="C114" s="2" t="s">
        <v>415</v>
      </c>
      <c r="D114" s="692"/>
      <c r="E114" s="692">
        <f t="shared" ref="E114:N114" si="217">(E$108*E$63)/100</f>
        <v>10.316015036231883</v>
      </c>
      <c r="F114" s="692">
        <f t="shared" si="217"/>
        <v>9.6437333950046256</v>
      </c>
      <c r="G114" s="692">
        <f t="shared" si="217"/>
        <v>9.4739461276595733</v>
      </c>
      <c r="H114" s="692">
        <f t="shared" si="217"/>
        <v>9.2208834042553214</v>
      </c>
      <c r="I114" s="692">
        <f t="shared" si="217"/>
        <v>9.1077141276595768</v>
      </c>
      <c r="J114" s="692">
        <f t="shared" si="217"/>
        <v>9.0286508936170211</v>
      </c>
      <c r="K114" s="692">
        <f t="shared" si="217"/>
        <v>9.1842462857142859</v>
      </c>
      <c r="L114" s="692" t="e">
        <f t="shared" si="217"/>
        <v>#DIV/0!</v>
      </c>
      <c r="M114" s="692" t="e">
        <f t="shared" si="217"/>
        <v>#DIV/0!</v>
      </c>
      <c r="N114" s="692" t="e">
        <f t="shared" si="217"/>
        <v>#DIV/0!</v>
      </c>
    </row>
    <row r="115" spans="3:14" x14ac:dyDescent="0.25">
      <c r="C115" s="2" t="s">
        <v>393</v>
      </c>
      <c r="D115" s="692"/>
      <c r="E115" s="692">
        <f>E$114*$I$81/$E$81</f>
        <v>10.960765975996376</v>
      </c>
      <c r="F115" s="692">
        <f t="shared" ref="F115:N115" si="218">F$114*$I$81/$E$81</f>
        <v>10.246466732192415</v>
      </c>
      <c r="G115" s="692">
        <f t="shared" si="218"/>
        <v>10.066067760638298</v>
      </c>
      <c r="H115" s="692">
        <f t="shared" si="218"/>
        <v>9.7971886170212787</v>
      </c>
      <c r="I115" s="692">
        <f t="shared" si="218"/>
        <v>9.6769462606382994</v>
      </c>
      <c r="J115" s="692">
        <f t="shared" si="218"/>
        <v>9.5929415744680853</v>
      </c>
      <c r="K115" s="692">
        <f t="shared" si="218"/>
        <v>9.7582616785714293</v>
      </c>
      <c r="L115" s="692" t="e">
        <f t="shared" si="218"/>
        <v>#DIV/0!</v>
      </c>
      <c r="M115" s="692" t="e">
        <f t="shared" si="218"/>
        <v>#DIV/0!</v>
      </c>
      <c r="N115" s="692" t="e">
        <f t="shared" si="218"/>
        <v>#DIV/0!</v>
      </c>
    </row>
    <row r="116" spans="3:14" x14ac:dyDescent="0.25">
      <c r="C116" s="2" t="s">
        <v>446</v>
      </c>
      <c r="D116" s="692"/>
      <c r="E116" s="692">
        <f>$G$81/$I$81*E$115</f>
        <v>0.64475093976449271</v>
      </c>
      <c r="F116" s="692">
        <f t="shared" ref="F116:N116" si="219">$G$81/$I$81*F$115</f>
        <v>0.6027333371877891</v>
      </c>
      <c r="G116" s="692">
        <f t="shared" si="219"/>
        <v>0.59212163297872333</v>
      </c>
      <c r="H116" s="692">
        <f t="shared" si="219"/>
        <v>0.57630521276595759</v>
      </c>
      <c r="I116" s="692">
        <f t="shared" si="219"/>
        <v>0.56923213297872344</v>
      </c>
      <c r="J116" s="692">
        <f t="shared" si="219"/>
        <v>0.56429068085106382</v>
      </c>
      <c r="K116" s="692">
        <f t="shared" si="219"/>
        <v>0.57401539285714287</v>
      </c>
      <c r="L116" s="692" t="e">
        <f t="shared" si="219"/>
        <v>#DIV/0!</v>
      </c>
      <c r="M116" s="692" t="e">
        <f t="shared" si="219"/>
        <v>#DIV/0!</v>
      </c>
      <c r="N116" s="692" t="e">
        <f t="shared" si="219"/>
        <v>#DIV/0!</v>
      </c>
    </row>
    <row r="117" spans="3:14" x14ac:dyDescent="0.25">
      <c r="C117" s="2" t="s">
        <v>416</v>
      </c>
      <c r="D117" s="692"/>
      <c r="E117" s="692">
        <f t="shared" ref="E117:M117" si="220">(E$111*E$64)/100</f>
        <v>0.34637786079710148</v>
      </c>
      <c r="F117" s="692">
        <f t="shared" si="220"/>
        <v>0.27404021822386687</v>
      </c>
      <c r="G117" s="692">
        <f t="shared" si="220"/>
        <v>0.26479357106382984</v>
      </c>
      <c r="H117" s="692">
        <f t="shared" si="220"/>
        <v>0.23845858638297876</v>
      </c>
      <c r="I117" s="692">
        <f t="shared" si="220"/>
        <v>0.22744245191489365</v>
      </c>
      <c r="J117" s="692">
        <f t="shared" si="220"/>
        <v>0.2118857889361703</v>
      </c>
      <c r="K117" s="692">
        <f t="shared" si="220"/>
        <v>0.19818502476190486</v>
      </c>
      <c r="L117" s="692" t="e">
        <f t="shared" si="220"/>
        <v>#DIV/0!</v>
      </c>
      <c r="M117" s="692" t="e">
        <f t="shared" si="220"/>
        <v>#DIV/0!</v>
      </c>
      <c r="N117" s="692" t="e">
        <f>(N$111*N$64)/100</f>
        <v>#DIV/0!</v>
      </c>
    </row>
    <row r="118" spans="3:14" x14ac:dyDescent="0.25">
      <c r="C118" s="2" t="s">
        <v>269</v>
      </c>
      <c r="D118" s="692"/>
      <c r="E118" s="692">
        <f>E$117*$I$82/$E$82</f>
        <v>0.42060168811076609</v>
      </c>
      <c r="F118" s="692">
        <f t="shared" ref="F118:N118" si="221">F$117*$I$82/$E$82</f>
        <v>0.33276312212898118</v>
      </c>
      <c r="G118" s="692">
        <f t="shared" si="221"/>
        <v>0.3215350505775077</v>
      </c>
      <c r="H118" s="692">
        <f t="shared" si="221"/>
        <v>0.28955685489361704</v>
      </c>
      <c r="I118" s="692">
        <f t="shared" si="221"/>
        <v>0.27618012018237087</v>
      </c>
      <c r="J118" s="692">
        <f t="shared" si="221"/>
        <v>0.25728988656534962</v>
      </c>
      <c r="K118" s="692">
        <f t="shared" si="221"/>
        <v>0.24065324435374164</v>
      </c>
      <c r="L118" s="692" t="e">
        <f t="shared" si="221"/>
        <v>#DIV/0!</v>
      </c>
      <c r="M118" s="692" t="e">
        <f t="shared" si="221"/>
        <v>#DIV/0!</v>
      </c>
      <c r="N118" s="692" t="e">
        <f t="shared" si="221"/>
        <v>#DIV/0!</v>
      </c>
    </row>
    <row r="119" spans="3:14" x14ac:dyDescent="0.25">
      <c r="C119" s="2" t="s">
        <v>447</v>
      </c>
      <c r="D119" s="692"/>
      <c r="E119" s="692">
        <f>$G$82/$I$82*E$118</f>
        <v>7.4223827313664614E-2</v>
      </c>
      <c r="F119" s="692">
        <f t="shared" ref="F119:N119" si="222">$G$82/$I$82*F$118</f>
        <v>5.8722903905114331E-2</v>
      </c>
      <c r="G119" s="692">
        <f t="shared" si="222"/>
        <v>5.6741479513677834E-2</v>
      </c>
      <c r="H119" s="692">
        <f t="shared" si="222"/>
        <v>5.1098268510638305E-2</v>
      </c>
      <c r="I119" s="692">
        <f t="shared" si="222"/>
        <v>4.8737668267477219E-2</v>
      </c>
      <c r="J119" s="692">
        <f t="shared" si="222"/>
        <v>4.5404097629179345E-2</v>
      </c>
      <c r="K119" s="692">
        <f t="shared" si="222"/>
        <v>4.2468219591836762E-2</v>
      </c>
      <c r="L119" s="692" t="e">
        <f t="shared" si="222"/>
        <v>#DIV/0!</v>
      </c>
      <c r="M119" s="692" t="e">
        <f t="shared" si="222"/>
        <v>#DIV/0!</v>
      </c>
      <c r="N119" s="692" t="e">
        <f t="shared" si="222"/>
        <v>#DIV/0!</v>
      </c>
    </row>
    <row r="120" spans="3:14" ht="12.95" customHeight="1" x14ac:dyDescent="0.25"/>
    <row r="121" spans="3:14" x14ac:dyDescent="0.25">
      <c r="C121" s="722" t="s">
        <v>421</v>
      </c>
      <c r="D121" s="724"/>
      <c r="E121" s="723">
        <f t="shared" ref="E121:L121" si="223">100*(E70-Q70)/E70</f>
        <v>80.289753115912788</v>
      </c>
      <c r="F121" s="723">
        <f t="shared" si="223"/>
        <v>75.674791281786369</v>
      </c>
      <c r="G121" s="723">
        <f t="shared" si="223"/>
        <v>74.31331688145508</v>
      </c>
      <c r="H121" s="723">
        <f t="shared" si="223"/>
        <v>72.67274937072041</v>
      </c>
      <c r="I121" s="723">
        <f t="shared" si="223"/>
        <v>72.579390389567365</v>
      </c>
      <c r="J121" s="723">
        <f t="shared" si="223"/>
        <v>72.707876603791064</v>
      </c>
      <c r="K121" s="723">
        <f t="shared" si="223"/>
        <v>72.204536210803511</v>
      </c>
      <c r="L121" s="723" t="e">
        <f t="shared" si="223"/>
        <v>#DIV/0!</v>
      </c>
      <c r="M121" s="723" t="e">
        <f t="shared" ref="M121:N121" si="224">100*(M70-Y70)/M70</f>
        <v>#DIV/0!</v>
      </c>
      <c r="N121" s="723" t="e">
        <f t="shared" si="224"/>
        <v>#DIV/0!</v>
      </c>
    </row>
    <row r="122" spans="3:14" x14ac:dyDescent="0.25">
      <c r="C122" s="720" t="s">
        <v>437</v>
      </c>
      <c r="D122" s="714"/>
      <c r="E122" s="719">
        <v>74.5</v>
      </c>
      <c r="F122" s="719">
        <v>72.2</v>
      </c>
      <c r="G122" s="719">
        <v>71.400000000000006</v>
      </c>
      <c r="H122" s="719">
        <v>71.099999999999994</v>
      </c>
      <c r="I122" s="719">
        <v>70</v>
      </c>
      <c r="J122" s="719">
        <v>69.7</v>
      </c>
      <c r="K122" s="719"/>
      <c r="L122" s="719"/>
      <c r="M122" s="719"/>
      <c r="N122" s="719"/>
    </row>
    <row r="123" spans="3:14" x14ac:dyDescent="0.25">
      <c r="C123" s="721"/>
    </row>
    <row r="124" spans="3:14" x14ac:dyDescent="0.25">
      <c r="C124" s="708" t="s">
        <v>283</v>
      </c>
      <c r="E124" s="778">
        <f t="shared" ref="E124:L124" si="225">(Q$47+AC$47+SUM(AO$76:AO$81)+SUM(BA$76:BA$81))/E$47</f>
        <v>0.7813710013907692</v>
      </c>
      <c r="F124" s="778">
        <f t="shared" si="225"/>
        <v>0.96404918565329922</v>
      </c>
      <c r="G124" s="778">
        <f t="shared" si="225"/>
        <v>0.95343463299873876</v>
      </c>
      <c r="H124" s="778">
        <f t="shared" si="225"/>
        <v>0.93074512251261032</v>
      </c>
      <c r="I124" s="778">
        <f t="shared" si="225"/>
        <v>0.93165649321055577</v>
      </c>
      <c r="J124" s="778">
        <f t="shared" si="225"/>
        <v>0.93864256710018368</v>
      </c>
      <c r="K124" s="778">
        <f t="shared" si="225"/>
        <v>0.95474476757312254</v>
      </c>
      <c r="L124" s="778" t="e">
        <f t="shared" si="225"/>
        <v>#DIV/0!</v>
      </c>
      <c r="M124" s="778" t="e">
        <f t="shared" ref="M124:N124" si="226">(Y$47+AK$47+SUM(AW$76:AW$81)+SUM(BI$76:BI$81))/M$47</f>
        <v>#DIV/0!</v>
      </c>
      <c r="N124" s="778" t="e">
        <f t="shared" si="226"/>
        <v>#DIV/0!</v>
      </c>
    </row>
    <row r="125" spans="3:14" x14ac:dyDescent="0.25">
      <c r="E125" s="941"/>
      <c r="F125" s="814"/>
      <c r="G125" s="814"/>
      <c r="H125" s="814"/>
      <c r="I125" s="814"/>
      <c r="J125" s="814"/>
      <c r="K125" s="814"/>
      <c r="L125" s="814"/>
      <c r="M125" s="814"/>
      <c r="N125" s="814"/>
    </row>
    <row r="126" spans="3:14" x14ac:dyDescent="0.25">
      <c r="C126" s="708" t="s">
        <v>434</v>
      </c>
      <c r="D126" s="692"/>
      <c r="E126" s="778">
        <f t="shared" ref="E126:L126" si="227">((SUM(AO$85:AO$90)+SUM(BA85:BA90)+Q$72+AC$72)/E$72)</f>
        <v>0.8112027941351887</v>
      </c>
      <c r="F126" s="778">
        <f t="shared" si="227"/>
        <v>0.99567537905477266</v>
      </c>
      <c r="G126" s="778">
        <f t="shared" si="227"/>
        <v>0.98091661797380991</v>
      </c>
      <c r="H126" s="778">
        <f t="shared" si="227"/>
        <v>0.96203724145379499</v>
      </c>
      <c r="I126" s="778">
        <f t="shared" si="227"/>
        <v>0.96141926355303098</v>
      </c>
      <c r="J126" s="778">
        <f t="shared" si="227"/>
        <v>0.9683804047339396</v>
      </c>
      <c r="K126" s="778">
        <f t="shared" si="227"/>
        <v>0.98669852652874457</v>
      </c>
      <c r="L126" s="778" t="e">
        <f t="shared" si="227"/>
        <v>#DIV/0!</v>
      </c>
      <c r="M126" s="778" t="e">
        <f t="shared" ref="M126:N126" si="228">((SUM(AW$85:AW$90)+SUM(BI85:BI90)+Y$72+AK$72)/M$72)</f>
        <v>#DIV/0!</v>
      </c>
      <c r="N126" s="778" t="e">
        <f t="shared" si="228"/>
        <v>#DIV/0!</v>
      </c>
    </row>
    <row r="127" spans="3:14" x14ac:dyDescent="0.25">
      <c r="D127" s="692"/>
      <c r="E127" s="731"/>
      <c r="F127" s="731"/>
      <c r="G127" s="731"/>
      <c r="H127" s="731"/>
      <c r="I127" s="731"/>
      <c r="J127" s="731"/>
      <c r="K127" s="731"/>
      <c r="L127" s="731"/>
      <c r="M127" s="731"/>
      <c r="N127" s="731"/>
    </row>
    <row r="128" spans="3:14" ht="30" x14ac:dyDescent="0.25">
      <c r="C128" s="721" t="s">
        <v>501</v>
      </c>
      <c r="D128" s="692"/>
      <c r="E128" s="731">
        <f t="shared" ref="E128:L128" si="229">(BA$101+AO$101+AC$91+Q$91+E$116+E$119)-E$91</f>
        <v>-0.33956513831332202</v>
      </c>
      <c r="F128" s="731">
        <f t="shared" si="229"/>
        <v>4.4576653362735499</v>
      </c>
      <c r="G128" s="731">
        <f t="shared" si="229"/>
        <v>4.6561556066480669</v>
      </c>
      <c r="H128" s="731">
        <f t="shared" si="229"/>
        <v>3.1393236641013758</v>
      </c>
      <c r="I128" s="731">
        <f t="shared" si="229"/>
        <v>3.2926159807713198</v>
      </c>
      <c r="J128" s="731">
        <f t="shared" si="229"/>
        <v>3.4187487716101757</v>
      </c>
      <c r="K128" s="731">
        <f t="shared" si="229"/>
        <v>3.6275794469898734</v>
      </c>
      <c r="L128" s="731" t="e">
        <f t="shared" si="229"/>
        <v>#DIV/0!</v>
      </c>
      <c r="M128" s="731" t="e">
        <f t="shared" ref="M128:N128" si="230">(BI$101+AW$101+AK$91+Y$91+M$116+M$119)-M$91</f>
        <v>#DIV/0!</v>
      </c>
      <c r="N128" s="731" t="e">
        <f t="shared" si="230"/>
        <v>#DIV/0!</v>
      </c>
    </row>
    <row r="129" spans="3:14" ht="30" x14ac:dyDescent="0.25">
      <c r="C129" s="721" t="s">
        <v>500</v>
      </c>
      <c r="D129" s="692"/>
      <c r="E129" s="692">
        <f>((E128*0.082*273.15)/(2))/(E47/1000)</f>
        <v>-19.58544679180244</v>
      </c>
      <c r="F129" s="692">
        <f t="shared" ref="F129:M129" si="231">((F128*0.082*273.15)/(2))/(F47/1000)</f>
        <v>265.72724907816297</v>
      </c>
      <c r="G129" s="692">
        <f t="shared" si="231"/>
        <v>280.54192970730963</v>
      </c>
      <c r="H129" s="692">
        <f t="shared" si="231"/>
        <v>190.58991474078238</v>
      </c>
      <c r="I129" s="692">
        <f t="shared" si="231"/>
        <v>200.54403057967957</v>
      </c>
      <c r="J129" s="692">
        <f t="shared" si="231"/>
        <v>208.66103598819231</v>
      </c>
      <c r="K129" s="692">
        <f t="shared" si="231"/>
        <v>218.86658123111579</v>
      </c>
      <c r="L129" s="692" t="e">
        <f t="shared" si="231"/>
        <v>#DIV/0!</v>
      </c>
      <c r="M129" s="692" t="e">
        <f t="shared" si="231"/>
        <v>#DIV/0!</v>
      </c>
      <c r="N129" s="692" t="e">
        <f t="shared" ref="N129" si="232">((N128*0.082*273.15)/(2))/(N47/1000)</f>
        <v>#DIV/0!</v>
      </c>
    </row>
    <row r="130" spans="3:14" x14ac:dyDescent="0.25">
      <c r="C130" s="721"/>
      <c r="D130" s="692"/>
      <c r="E130" s="731"/>
      <c r="F130" s="731"/>
      <c r="G130" s="731"/>
      <c r="H130" s="731"/>
      <c r="I130" s="731"/>
      <c r="J130" s="731"/>
      <c r="K130" s="731"/>
      <c r="L130" s="731"/>
      <c r="M130" s="731"/>
      <c r="N130" s="731"/>
    </row>
    <row r="131" spans="3:14" x14ac:dyDescent="0.25">
      <c r="C131" s="2" t="s">
        <v>477</v>
      </c>
      <c r="E131" s="814">
        <f>E$128/E$47</f>
        <v>-1.7488333303690405E-3</v>
      </c>
      <c r="F131" s="814">
        <f t="shared" ref="F131:N131" si="233">F$128/F$47</f>
        <v>2.3727447982941827E-2</v>
      </c>
      <c r="G131" s="814">
        <f t="shared" si="233"/>
        <v>2.5050287718917028E-2</v>
      </c>
      <c r="H131" s="814">
        <f t="shared" si="233"/>
        <v>1.7018248236766398E-2</v>
      </c>
      <c r="I131" s="814">
        <f t="shared" si="233"/>
        <v>1.7907076035206207E-2</v>
      </c>
      <c r="J131" s="814">
        <f t="shared" si="233"/>
        <v>1.8631863667170484E-2</v>
      </c>
      <c r="K131" s="814">
        <f t="shared" si="233"/>
        <v>1.9543142223393366E-2</v>
      </c>
      <c r="L131" s="814" t="e">
        <f t="shared" si="233"/>
        <v>#DIV/0!</v>
      </c>
      <c r="M131" s="814" t="e">
        <f t="shared" si="233"/>
        <v>#DIV/0!</v>
      </c>
      <c r="N131" s="814" t="e">
        <f t="shared" si="233"/>
        <v>#DIV/0!</v>
      </c>
    </row>
    <row r="132" spans="3:14" x14ac:dyDescent="0.25">
      <c r="C132" s="2" t="s">
        <v>451</v>
      </c>
      <c r="E132" s="814">
        <f>E$131/E$126</f>
        <v>-2.1558522024488903E-3</v>
      </c>
      <c r="F132" s="814">
        <f t="shared" ref="F132:N132" si="234">F$131/F$126</f>
        <v>2.3830505887839741E-2</v>
      </c>
      <c r="G132" s="814">
        <f t="shared" si="234"/>
        <v>2.5537632108487595E-2</v>
      </c>
      <c r="H132" s="814">
        <f>H$131/H$126</f>
        <v>1.7689801915619245E-2</v>
      </c>
      <c r="I132" s="814">
        <f t="shared" si="234"/>
        <v>1.8625668024404494E-2</v>
      </c>
      <c r="J132" s="814">
        <f t="shared" si="234"/>
        <v>1.9240232016352651E-2</v>
      </c>
      <c r="K132" s="814">
        <f t="shared" si="234"/>
        <v>1.98065991769007E-2</v>
      </c>
      <c r="L132" s="814" t="e">
        <f t="shared" si="234"/>
        <v>#DIV/0!</v>
      </c>
      <c r="M132" s="814" t="e">
        <f t="shared" si="234"/>
        <v>#DIV/0!</v>
      </c>
      <c r="N132" s="814" t="e">
        <f t="shared" si="234"/>
        <v>#DIV/0!</v>
      </c>
    </row>
    <row r="134" spans="3:14" ht="18.75" x14ac:dyDescent="0.3">
      <c r="C134" s="743" t="s">
        <v>277</v>
      </c>
    </row>
    <row r="135" spans="3:14" x14ac:dyDescent="0.25">
      <c r="C135" s="2" t="s">
        <v>250</v>
      </c>
      <c r="D135" s="691"/>
      <c r="E135" s="691">
        <f t="shared" ref="E135:L135" si="235">(BA$76+AO$76)/E$47*100</f>
        <v>0.67675482052669955</v>
      </c>
      <c r="F135" s="691">
        <f t="shared" si="235"/>
        <v>0.85802794723399234</v>
      </c>
      <c r="G135" s="691">
        <f t="shared" si="235"/>
        <v>1.0873449593466291</v>
      </c>
      <c r="H135" s="691">
        <f t="shared" si="235"/>
        <v>1.169461699956027</v>
      </c>
      <c r="I135" s="691">
        <f t="shared" si="235"/>
        <v>1.1006562709081318</v>
      </c>
      <c r="J135" s="691">
        <f t="shared" si="235"/>
        <v>1.1123988677424412</v>
      </c>
      <c r="K135" s="691">
        <f t="shared" si="235"/>
        <v>1.2168322838890715</v>
      </c>
      <c r="L135" s="691" t="e">
        <f t="shared" si="235"/>
        <v>#DIV/0!</v>
      </c>
      <c r="M135" s="691" t="e">
        <f t="shared" ref="M135" si="236">(BI$76+AW$76)/M$47*100</f>
        <v>#DIV/0!</v>
      </c>
      <c r="N135" s="691" t="e">
        <f>(BJ$76+AX$76)/N$47*100</f>
        <v>#DIV/0!</v>
      </c>
    </row>
    <row r="136" spans="3:14" x14ac:dyDescent="0.25">
      <c r="C136" s="2" t="s">
        <v>251</v>
      </c>
      <c r="D136" s="691"/>
      <c r="E136" s="691">
        <f t="shared" ref="E136:L136" si="237">((AO$77+BA$77)/E$47)*100</f>
        <v>0.54368784810644188</v>
      </c>
      <c r="F136" s="691">
        <f t="shared" si="237"/>
        <v>0.63787458921518192</v>
      </c>
      <c r="G136" s="691">
        <f t="shared" si="237"/>
        <v>1.1932692065188841</v>
      </c>
      <c r="H136" s="691">
        <f t="shared" si="237"/>
        <v>0.95684459029327862</v>
      </c>
      <c r="I136" s="691">
        <f t="shared" si="237"/>
        <v>0.89415079569898448</v>
      </c>
      <c r="J136" s="691">
        <f t="shared" si="237"/>
        <v>0.90356536787367481</v>
      </c>
      <c r="K136" s="691">
        <f t="shared" si="237"/>
        <v>0.97888674188206481</v>
      </c>
      <c r="L136" s="691" t="e">
        <f t="shared" si="237"/>
        <v>#DIV/0!</v>
      </c>
      <c r="M136" s="691" t="e">
        <f t="shared" ref="M136:N136" si="238">((AW$77+BI$77)/M$47)*100</f>
        <v>#DIV/0!</v>
      </c>
      <c r="N136" s="691" t="e">
        <f t="shared" si="238"/>
        <v>#DIV/0!</v>
      </c>
    </row>
    <row r="137" spans="3:14" x14ac:dyDescent="0.25">
      <c r="C137" s="2" t="s">
        <v>252</v>
      </c>
      <c r="D137" s="691"/>
      <c r="E137" s="691">
        <f t="shared" ref="E137:L137" si="239">(BA$78+AO$78)/E$47*100</f>
        <v>0.84429142437220683</v>
      </c>
      <c r="F137" s="691">
        <f t="shared" si="239"/>
        <v>1.6144630455886531</v>
      </c>
      <c r="G137" s="691">
        <f t="shared" si="239"/>
        <v>1.6937291310994913</v>
      </c>
      <c r="H137" s="691">
        <f t="shared" si="239"/>
        <v>1.291339389034301</v>
      </c>
      <c r="I137" s="691">
        <f t="shared" si="239"/>
        <v>1.3483709953355258</v>
      </c>
      <c r="J137" s="691">
        <f t="shared" si="239"/>
        <v>1.3623811916171518</v>
      </c>
      <c r="K137" s="691">
        <f t="shared" si="239"/>
        <v>1.3057477706796776</v>
      </c>
      <c r="L137" s="691" t="e">
        <f t="shared" si="239"/>
        <v>#DIV/0!</v>
      </c>
      <c r="M137" s="691" t="e">
        <f t="shared" ref="M137:N137" si="240">(BI$78+AW$78)/M$47*100</f>
        <v>#DIV/0!</v>
      </c>
      <c r="N137" s="691" t="e">
        <f t="shared" si="240"/>
        <v>#DIV/0!</v>
      </c>
    </row>
    <row r="138" spans="3:14" x14ac:dyDescent="0.25">
      <c r="C138" s="2" t="s">
        <v>253</v>
      </c>
      <c r="D138" s="691"/>
      <c r="E138" s="691">
        <f>((AO$88+BA$88)/E$47)*100</f>
        <v>0.40811874112675095</v>
      </c>
      <c r="F138" s="691">
        <f t="shared" ref="F138:K138" si="241">((AP$88+BB$88)/F$47)*100</f>
        <v>1.0704666023963174</v>
      </c>
      <c r="G138" s="691">
        <f t="shared" si="241"/>
        <v>0.57510284164532055</v>
      </c>
      <c r="H138" s="691">
        <f t="shared" si="241"/>
        <v>0.33768630855492388</v>
      </c>
      <c r="I138" s="691">
        <f t="shared" si="241"/>
        <v>0.4088948331082633</v>
      </c>
      <c r="J138" s="691">
        <f t="shared" si="241"/>
        <v>0.41306843597283338</v>
      </c>
      <c r="K138" s="691">
        <f t="shared" si="241"/>
        <v>0.36909969336986409</v>
      </c>
      <c r="L138" s="691" t="e">
        <f t="shared" ref="L138" si="242">((AV$88+BH$88)/L$47)*100</f>
        <v>#DIV/0!</v>
      </c>
      <c r="M138" s="691" t="e">
        <f t="shared" ref="M138" si="243">((AW$88+BI$88)/M$47)*100</f>
        <v>#DIV/0!</v>
      </c>
      <c r="N138" s="691" t="e">
        <f>((AX$88+BJ$88)/N$47)*100</f>
        <v>#DIV/0!</v>
      </c>
    </row>
    <row r="139" spans="3:14" x14ac:dyDescent="0.25">
      <c r="C139" s="2" t="s">
        <v>254</v>
      </c>
      <c r="D139" s="691"/>
      <c r="E139" s="691">
        <f t="shared" ref="E139:L139" si="244">((AO$80+BA$80)/E$47)*100</f>
        <v>0.63784016585617664</v>
      </c>
      <c r="F139" s="691">
        <f t="shared" si="244"/>
        <v>1.1426779865750172</v>
      </c>
      <c r="G139" s="691">
        <f t="shared" si="244"/>
        <v>1.262169949888216</v>
      </c>
      <c r="H139" s="691">
        <f t="shared" si="244"/>
        <v>0.54660291122740667</v>
      </c>
      <c r="I139" s="691">
        <f t="shared" si="244"/>
        <v>0.7749817088082217</v>
      </c>
      <c r="J139" s="691">
        <f t="shared" si="244"/>
        <v>0.78285086466322873</v>
      </c>
      <c r="K139" s="691">
        <f t="shared" si="244"/>
        <v>0.71961216878792444</v>
      </c>
      <c r="L139" s="691" t="e">
        <f t="shared" si="244"/>
        <v>#DIV/0!</v>
      </c>
      <c r="M139" s="691" t="e">
        <f t="shared" ref="M139:N139" si="245">((AW$80+BI$80)/M$47)*100</f>
        <v>#DIV/0!</v>
      </c>
      <c r="N139" s="691" t="e">
        <f t="shared" si="245"/>
        <v>#DIV/0!</v>
      </c>
    </row>
    <row r="140" spans="3:14" x14ac:dyDescent="0.25">
      <c r="C140" s="2" t="s">
        <v>255</v>
      </c>
      <c r="D140" s="691"/>
      <c r="E140" s="691">
        <f t="shared" ref="E140:L140" si="246">((AO$90+BA$90)/E$47)*100</f>
        <v>0.81562968793552904</v>
      </c>
      <c r="F140" s="691">
        <f t="shared" si="246"/>
        <v>1.7444368996149948</v>
      </c>
      <c r="G140" s="691">
        <f t="shared" si="246"/>
        <v>1.2749357973530955</v>
      </c>
      <c r="H140" s="691">
        <f t="shared" si="246"/>
        <v>0.17847909378329338</v>
      </c>
      <c r="I140" s="691">
        <f t="shared" si="246"/>
        <v>0.20136370523754929</v>
      </c>
      <c r="J140" s="691">
        <f t="shared" si="246"/>
        <v>0.2033557090736452</v>
      </c>
      <c r="K140" s="691">
        <f t="shared" si="246"/>
        <v>0.33661361258140232</v>
      </c>
      <c r="L140" s="691" t="e">
        <f t="shared" si="246"/>
        <v>#DIV/0!</v>
      </c>
      <c r="M140" s="691" t="e">
        <f t="shared" ref="M140:N140" si="247">((AW$90+BI$90)/M$47)*100</f>
        <v>#DIV/0!</v>
      </c>
      <c r="N140" s="691" t="e">
        <f t="shared" si="247"/>
        <v>#DIV/0!</v>
      </c>
    </row>
    <row r="141" spans="3:14" x14ac:dyDescent="0.25">
      <c r="C141" s="2" t="s">
        <v>228</v>
      </c>
      <c r="D141" s="691"/>
      <c r="E141" s="691">
        <f>($I$81/$E$81)*(E114/E$47)*100</f>
        <v>5.6450296872084342</v>
      </c>
      <c r="F141" s="691">
        <f t="shared" ref="F141:M141" si="248">($I$81/$E$81)*(F114/F$47)*100</f>
        <v>5.4540322805004751</v>
      </c>
      <c r="G141" s="691">
        <f t="shared" si="248"/>
        <v>5.4155813272664828</v>
      </c>
      <c r="H141" s="691">
        <f t="shared" si="248"/>
        <v>5.311048039215688</v>
      </c>
      <c r="I141" s="691">
        <f t="shared" si="248"/>
        <v>5.2628613081462641</v>
      </c>
      <c r="J141" s="691">
        <f t="shared" si="248"/>
        <v>5.2280641697588122</v>
      </c>
      <c r="K141" s="691">
        <f t="shared" si="248"/>
        <v>5.257144567727039</v>
      </c>
      <c r="L141" s="691" t="e">
        <f t="shared" si="248"/>
        <v>#DIV/0!</v>
      </c>
      <c r="M141" s="691" t="e">
        <f t="shared" si="248"/>
        <v>#DIV/0!</v>
      </c>
      <c r="N141" s="691" t="e">
        <f t="shared" ref="N141" si="249">($I$81/$E$81)*(N114/N$47)*100</f>
        <v>#DIV/0!</v>
      </c>
    </row>
    <row r="142" spans="3:14" x14ac:dyDescent="0.25">
      <c r="C142" s="2" t="s">
        <v>229</v>
      </c>
      <c r="D142" s="691"/>
      <c r="E142" s="691">
        <f>($I$82/$E$82)*(E117/E$47)*100</f>
        <v>0.21661889516434307</v>
      </c>
      <c r="F142" s="691">
        <f t="shared" ref="F142:M142" si="250">($I$82/$E$82)*(F117/F$47)*100</f>
        <v>0.17712455008022604</v>
      </c>
      <c r="G142" s="691">
        <f t="shared" si="250"/>
        <v>0.17298703499476714</v>
      </c>
      <c r="H142" s="691">
        <f t="shared" si="250"/>
        <v>0.15696853725490198</v>
      </c>
      <c r="I142" s="691">
        <f t="shared" si="250"/>
        <v>0.15020210192746392</v>
      </c>
      <c r="J142" s="691">
        <f t="shared" si="250"/>
        <v>0.14022060144447393</v>
      </c>
      <c r="K142" s="691">
        <f t="shared" si="250"/>
        <v>0.12964900285860886</v>
      </c>
      <c r="L142" s="691" t="e">
        <f t="shared" si="250"/>
        <v>#DIV/0!</v>
      </c>
      <c r="M142" s="691" t="e">
        <f t="shared" si="250"/>
        <v>#DIV/0!</v>
      </c>
      <c r="N142" s="691" t="e">
        <f t="shared" ref="N142" si="251">($I$82/$E$82)*(N117/N$47)*100</f>
        <v>#DIV/0!</v>
      </c>
    </row>
    <row r="143" spans="3:14" x14ac:dyDescent="0.25">
      <c r="C143" s="2" t="s">
        <v>278</v>
      </c>
      <c r="D143" s="690"/>
      <c r="E143" s="690">
        <f t="shared" ref="E143:L143" si="252">((Q$49+AC$49)/E$47)*100</f>
        <v>0.42710169807799964</v>
      </c>
      <c r="F143" s="690">
        <f t="shared" si="252"/>
        <v>0.70411734872246867</v>
      </c>
      <c r="G143" s="690">
        <f t="shared" si="252"/>
        <v>1.7298534798534799</v>
      </c>
      <c r="H143" s="690">
        <f t="shared" si="252"/>
        <v>1.4521591695501728</v>
      </c>
      <c r="I143" s="690">
        <f t="shared" si="252"/>
        <v>1.3719046517009952</v>
      </c>
      <c r="J143" s="690">
        <f t="shared" si="252"/>
        <v>1.8002875695732838</v>
      </c>
      <c r="K143" s="690">
        <f t="shared" si="252"/>
        <v>1.8249974345818369</v>
      </c>
      <c r="L143" s="690" t="e">
        <f t="shared" si="252"/>
        <v>#DIV/0!</v>
      </c>
      <c r="M143" s="690" t="e">
        <f t="shared" ref="M143:N143" si="253">((Y$49+AK$49)/M$47)*100</f>
        <v>#DIV/0!</v>
      </c>
      <c r="N143" s="690" t="e">
        <f t="shared" si="253"/>
        <v>#DIV/0!</v>
      </c>
    </row>
    <row r="144" spans="3:14" x14ac:dyDescent="0.25">
      <c r="C144" s="2" t="s">
        <v>234</v>
      </c>
      <c r="D144" s="690"/>
      <c r="E144" s="690">
        <f t="shared" ref="E144:L144" si="254">((Q$50+AC$50)/E$47)*100</f>
        <v>2.416054114573615</v>
      </c>
      <c r="F144" s="690">
        <f t="shared" si="254"/>
        <v>3.6458441948524523</v>
      </c>
      <c r="G144" s="690">
        <f t="shared" si="254"/>
        <v>4.1997710622710631</v>
      </c>
      <c r="H144" s="690">
        <f t="shared" si="254"/>
        <v>4.0066735870818926</v>
      </c>
      <c r="I144" s="690">
        <f t="shared" si="254"/>
        <v>2.9370053228419351</v>
      </c>
      <c r="J144" s="690">
        <f t="shared" si="254"/>
        <v>4.2210667903525048</v>
      </c>
      <c r="K144" s="690">
        <f t="shared" si="254"/>
        <v>4.2040636223704464</v>
      </c>
      <c r="L144" s="690" t="e">
        <f t="shared" si="254"/>
        <v>#DIV/0!</v>
      </c>
      <c r="M144" s="690" t="e">
        <f t="shared" ref="M144:N144" si="255">((Y$50+AK$50)/M$47)*100</f>
        <v>#DIV/0!</v>
      </c>
      <c r="N144" s="690" t="e">
        <f t="shared" si="255"/>
        <v>#DIV/0!</v>
      </c>
    </row>
    <row r="145" spans="3:14" x14ac:dyDescent="0.25">
      <c r="C145" s="2" t="s">
        <v>235</v>
      </c>
      <c r="D145" s="690"/>
      <c r="E145" s="690">
        <f t="shared" ref="E145:L145" si="256">((Q$51+AC$51)/E$47)*100</f>
        <v>7.4179777943646208</v>
      </c>
      <c r="F145" s="690">
        <f t="shared" si="256"/>
        <v>10.297869189066754</v>
      </c>
      <c r="G145" s="690">
        <f t="shared" si="256"/>
        <v>9.3803571428571431</v>
      </c>
      <c r="H145" s="690">
        <f t="shared" si="256"/>
        <v>9.722136101499423</v>
      </c>
      <c r="I145" s="690">
        <f t="shared" si="256"/>
        <v>9.055774126359637</v>
      </c>
      <c r="J145" s="690">
        <f t="shared" si="256"/>
        <v>9.4625510204081635</v>
      </c>
      <c r="K145" s="690">
        <f t="shared" si="256"/>
        <v>9.7463724987172906</v>
      </c>
      <c r="L145" s="690" t="e">
        <f t="shared" si="256"/>
        <v>#DIV/0!</v>
      </c>
      <c r="M145" s="690" t="e">
        <f t="shared" ref="M145:N145" si="257">((Y$51+AK$51)/M$47)*100</f>
        <v>#DIV/0!</v>
      </c>
      <c r="N145" s="690" t="e">
        <f t="shared" si="257"/>
        <v>#DIV/0!</v>
      </c>
    </row>
    <row r="146" spans="3:14" x14ac:dyDescent="0.25">
      <c r="C146" s="2" t="s">
        <v>236</v>
      </c>
      <c r="D146" s="690"/>
      <c r="E146" s="690">
        <f t="shared" ref="E146:L146" si="258">((Q$52+AC$52)/E$47)*100</f>
        <v>13.849117372644152</v>
      </c>
      <c r="F146" s="690">
        <f t="shared" si="258"/>
        <v>16.402250858006667</v>
      </c>
      <c r="G146" s="690">
        <f t="shared" si="258"/>
        <v>15.696886446886445</v>
      </c>
      <c r="H146" s="690">
        <f t="shared" si="258"/>
        <v>15.46767474048443</v>
      </c>
      <c r="I146" s="690">
        <f t="shared" si="258"/>
        <v>15.121545938440176</v>
      </c>
      <c r="J146" s="690">
        <f t="shared" si="258"/>
        <v>15.078051948051948</v>
      </c>
      <c r="K146" s="690">
        <f t="shared" si="258"/>
        <v>16.556367367880963</v>
      </c>
      <c r="L146" s="690" t="e">
        <f t="shared" si="258"/>
        <v>#DIV/0!</v>
      </c>
      <c r="M146" s="690" t="e">
        <f t="shared" ref="M146:N146" si="259">((Y$52+AK$52)/M$47)*100</f>
        <v>#DIV/0!</v>
      </c>
      <c r="N146" s="690" t="e">
        <f t="shared" si="259"/>
        <v>#DIV/0!</v>
      </c>
    </row>
    <row r="147" spans="3:14" x14ac:dyDescent="0.25">
      <c r="C147" s="2" t="s">
        <v>237</v>
      </c>
      <c r="D147" s="690"/>
      <c r="E147" s="690">
        <f t="shared" ref="E147:L147" si="260">((Q$53+AC$53)/E$47)*100</f>
        <v>21.435872737451017</v>
      </c>
      <c r="F147" s="690">
        <f t="shared" si="260"/>
        <v>23.689891721282009</v>
      </c>
      <c r="G147" s="690">
        <f t="shared" si="260"/>
        <v>23.431501831501837</v>
      </c>
      <c r="H147" s="690">
        <f t="shared" si="260"/>
        <v>22.939540945790082</v>
      </c>
      <c r="I147" s="690">
        <f t="shared" si="260"/>
        <v>23.077852348993289</v>
      </c>
      <c r="J147" s="690">
        <f t="shared" si="260"/>
        <v>22.915844155844159</v>
      </c>
      <c r="K147" s="690">
        <f t="shared" si="260"/>
        <v>24.666413545407899</v>
      </c>
      <c r="L147" s="690" t="e">
        <f t="shared" si="260"/>
        <v>#DIV/0!</v>
      </c>
      <c r="M147" s="690" t="e">
        <f t="shared" ref="M147:N147" si="261">((Y$53+AK$53)/M$47)*100</f>
        <v>#DIV/0!</v>
      </c>
      <c r="N147" s="690" t="e">
        <f t="shared" si="261"/>
        <v>#DIV/0!</v>
      </c>
    </row>
    <row r="148" spans="3:14" x14ac:dyDescent="0.25">
      <c r="C148" s="2" t="s">
        <v>232</v>
      </c>
      <c r="D148" s="690"/>
      <c r="E148" s="690">
        <f t="shared" ref="E148:L148" si="262">((Q$54+AC$54)/E$47)*100</f>
        <v>10.022909871244636</v>
      </c>
      <c r="F148" s="690">
        <f t="shared" si="262"/>
        <v>10.759583429761628</v>
      </c>
      <c r="G148" s="690">
        <f t="shared" si="262"/>
        <v>10.656227106227107</v>
      </c>
      <c r="H148" s="690">
        <f t="shared" si="262"/>
        <v>10.215840830449828</v>
      </c>
      <c r="I148" s="690">
        <f t="shared" si="262"/>
        <v>10.763249247859292</v>
      </c>
      <c r="J148" s="690">
        <f t="shared" si="262"/>
        <v>10.591781076066791</v>
      </c>
      <c r="K148" s="690">
        <f t="shared" si="262"/>
        <v>10.686793227296047</v>
      </c>
      <c r="L148" s="690" t="e">
        <f t="shared" si="262"/>
        <v>#DIV/0!</v>
      </c>
      <c r="M148" s="690" t="e">
        <f t="shared" ref="M148:N148" si="263">((Y$54+AK$54)/M$47)*100</f>
        <v>#DIV/0!</v>
      </c>
      <c r="N148" s="690" t="e">
        <f t="shared" si="263"/>
        <v>#DIV/0!</v>
      </c>
    </row>
    <row r="149" spans="3:14" x14ac:dyDescent="0.25">
      <c r="C149" s="2" t="s">
        <v>233</v>
      </c>
      <c r="D149" s="690"/>
      <c r="E149" s="690">
        <f t="shared" ref="E149:L149" si="264">((Q$55+AC$55)/E$47)*100</f>
        <v>18.398124463519309</v>
      </c>
      <c r="F149" s="690">
        <f t="shared" si="264"/>
        <v>23.27520481370053</v>
      </c>
      <c r="G149" s="690">
        <f t="shared" si="264"/>
        <v>22.794597069597081</v>
      </c>
      <c r="H149" s="690">
        <f t="shared" si="264"/>
        <v>24.685017301038055</v>
      </c>
      <c r="I149" s="690">
        <f t="shared" si="264"/>
        <v>25.985558898403148</v>
      </c>
      <c r="J149" s="690">
        <f t="shared" si="264"/>
        <v>24.891456400742118</v>
      </c>
      <c r="K149" s="690">
        <f t="shared" si="264"/>
        <v>22.720328373524886</v>
      </c>
      <c r="L149" s="690" t="e">
        <f t="shared" si="264"/>
        <v>#DIV/0!</v>
      </c>
      <c r="M149" s="690" t="e">
        <f t="shared" ref="M149:N149" si="265">((Y$55+AK$55)/M$47)*100</f>
        <v>#DIV/0!</v>
      </c>
      <c r="N149" s="690" t="e">
        <f t="shared" si="265"/>
        <v>#DIV/0!</v>
      </c>
    </row>
    <row r="150" spans="3:14" ht="6.75" customHeight="1" x14ac:dyDescent="0.25">
      <c r="D150" s="690"/>
      <c r="E150" s="690"/>
      <c r="F150" s="690"/>
      <c r="G150" s="690"/>
      <c r="H150" s="690"/>
      <c r="I150" s="690"/>
      <c r="J150" s="690"/>
      <c r="K150" s="690"/>
      <c r="L150" s="690"/>
      <c r="M150" s="690"/>
      <c r="N150" s="690"/>
    </row>
    <row r="151" spans="3:14" x14ac:dyDescent="0.25">
      <c r="C151" s="2" t="s">
        <v>452</v>
      </c>
      <c r="D151" s="690"/>
      <c r="E151" s="690">
        <f>SUM(E$135:E$138)</f>
        <v>2.4728528341320994</v>
      </c>
      <c r="F151" s="690">
        <f t="shared" ref="F151:N151" si="266">SUM(F$135:F$138)</f>
        <v>4.1808321844341449</v>
      </c>
      <c r="G151" s="690">
        <f t="shared" si="266"/>
        <v>4.5494461386103255</v>
      </c>
      <c r="H151" s="690">
        <f t="shared" si="266"/>
        <v>3.7553319878385305</v>
      </c>
      <c r="I151" s="690">
        <f t="shared" si="266"/>
        <v>3.7520728950509055</v>
      </c>
      <c r="J151" s="690">
        <f t="shared" si="266"/>
        <v>3.7914138632061012</v>
      </c>
      <c r="K151" s="690">
        <f t="shared" si="266"/>
        <v>3.870566489820678</v>
      </c>
      <c r="L151" s="690" t="e">
        <f t="shared" si="266"/>
        <v>#DIV/0!</v>
      </c>
      <c r="M151" s="690" t="e">
        <f t="shared" si="266"/>
        <v>#DIV/0!</v>
      </c>
      <c r="N151" s="690" t="e">
        <f t="shared" si="266"/>
        <v>#DIV/0!</v>
      </c>
    </row>
    <row r="152" spans="3:14" x14ac:dyDescent="0.25">
      <c r="C152" s="2" t="s">
        <v>498</v>
      </c>
      <c r="D152" s="690"/>
      <c r="E152" s="690">
        <f>E$151/E$126</f>
        <v>3.0483781022578591</v>
      </c>
      <c r="F152" s="690">
        <f t="shared" ref="F152:N152" si="267">F$151/F$126</f>
        <v>4.1989912298556042</v>
      </c>
      <c r="G152" s="690">
        <f t="shared" si="267"/>
        <v>4.6379539863517678</v>
      </c>
      <c r="H152" s="690">
        <f t="shared" si="267"/>
        <v>3.9035203898797226</v>
      </c>
      <c r="I152" s="690">
        <f t="shared" si="267"/>
        <v>3.9026396051028831</v>
      </c>
      <c r="J152" s="690">
        <f t="shared" si="267"/>
        <v>3.9152112585836387</v>
      </c>
      <c r="K152" s="690">
        <f t="shared" si="267"/>
        <v>3.9227447753849671</v>
      </c>
      <c r="L152" s="690" t="e">
        <f t="shared" si="267"/>
        <v>#DIV/0!</v>
      </c>
      <c r="M152" s="690" t="e">
        <f t="shared" si="267"/>
        <v>#DIV/0!</v>
      </c>
      <c r="N152" s="690" t="e">
        <f t="shared" si="267"/>
        <v>#DIV/0!</v>
      </c>
    </row>
    <row r="153" spans="3:14" ht="5.25" customHeight="1" x14ac:dyDescent="0.25">
      <c r="D153" s="690"/>
      <c r="E153" s="690"/>
      <c r="F153" s="690"/>
      <c r="G153" s="690"/>
      <c r="H153" s="690"/>
      <c r="I153" s="690"/>
      <c r="J153" s="690"/>
      <c r="K153" s="690"/>
      <c r="L153" s="690"/>
      <c r="M153" s="690"/>
      <c r="N153" s="690"/>
    </row>
    <row r="154" spans="3:14" x14ac:dyDescent="0.25">
      <c r="C154" s="2" t="s">
        <v>493</v>
      </c>
      <c r="D154" s="690"/>
      <c r="E154" s="691">
        <f t="shared" ref="E154:N154" si="268">SUM(E$139:E$140)+SUM(E$143:E$147)</f>
        <v>46.999593570903102</v>
      </c>
      <c r="F154" s="691">
        <f t="shared" si="268"/>
        <v>57.627088198120362</v>
      </c>
      <c r="G154" s="691">
        <f t="shared" si="268"/>
        <v>56.975475710611278</v>
      </c>
      <c r="H154" s="691">
        <f t="shared" si="268"/>
        <v>54.313266549416703</v>
      </c>
      <c r="I154" s="691">
        <f t="shared" si="268"/>
        <v>52.540427802381807</v>
      </c>
      <c r="J154" s="691">
        <f t="shared" si="268"/>
        <v>54.464008057966929</v>
      </c>
      <c r="K154" s="691">
        <f t="shared" si="268"/>
        <v>58.054440250327765</v>
      </c>
      <c r="L154" s="691" t="e">
        <f t="shared" si="268"/>
        <v>#DIV/0!</v>
      </c>
      <c r="M154" s="691" t="e">
        <f t="shared" si="268"/>
        <v>#DIV/0!</v>
      </c>
      <c r="N154" s="691" t="e">
        <f t="shared" si="268"/>
        <v>#DIV/0!</v>
      </c>
    </row>
    <row r="155" spans="3:14" x14ac:dyDescent="0.25">
      <c r="C155" s="722" t="s">
        <v>492</v>
      </c>
      <c r="D155" s="724"/>
      <c r="E155" s="723">
        <f>E$154/E$126</f>
        <v>57.93815542882674</v>
      </c>
      <c r="F155" s="723">
        <f t="shared" ref="F155:N155" si="269">F$154/F$126</f>
        <v>57.877385953670611</v>
      </c>
      <c r="G155" s="723">
        <f t="shared" si="269"/>
        <v>58.083913216089996</v>
      </c>
      <c r="H155" s="723">
        <f t="shared" si="269"/>
        <v>56.45651146242583</v>
      </c>
      <c r="I155" s="723">
        <f t="shared" si="269"/>
        <v>54.648819504835856</v>
      </c>
      <c r="J155" s="723">
        <f t="shared" si="269"/>
        <v>56.242369002634661</v>
      </c>
      <c r="K155" s="723">
        <f t="shared" si="269"/>
        <v>58.837059840928546</v>
      </c>
      <c r="L155" s="723" t="e">
        <f t="shared" si="269"/>
        <v>#DIV/0!</v>
      </c>
      <c r="M155" s="723" t="e">
        <f t="shared" si="269"/>
        <v>#DIV/0!</v>
      </c>
      <c r="N155" s="723" t="e">
        <f t="shared" si="269"/>
        <v>#DIV/0!</v>
      </c>
    </row>
    <row r="156" spans="3:14" x14ac:dyDescent="0.25">
      <c r="C156" s="713" t="s">
        <v>438</v>
      </c>
      <c r="D156" s="714"/>
      <c r="E156" s="779">
        <v>58.81</v>
      </c>
      <c r="F156" s="779">
        <v>59.7</v>
      </c>
      <c r="G156" s="779">
        <v>59.22</v>
      </c>
      <c r="H156" s="779">
        <v>56.67</v>
      </c>
      <c r="I156" s="779">
        <v>56.47</v>
      </c>
      <c r="J156" s="779">
        <v>57.36</v>
      </c>
      <c r="K156" s="779"/>
      <c r="L156" s="779"/>
      <c r="M156" s="779"/>
      <c r="N156" s="779"/>
    </row>
    <row r="158" spans="3:14" x14ac:dyDescent="0.25">
      <c r="C158" s="2" t="s">
        <v>496</v>
      </c>
      <c r="E158" s="733">
        <f>SUM(E$139:E$140)+E$143</f>
        <v>1.8805715518697053</v>
      </c>
      <c r="F158" s="733">
        <f t="shared" ref="F158:L158" si="270">SUM(F$139:F$140)+F$143</f>
        <v>3.5912322349124808</v>
      </c>
      <c r="G158" s="733">
        <f t="shared" si="270"/>
        <v>4.2669592270947909</v>
      </c>
      <c r="H158" s="733">
        <f t="shared" si="270"/>
        <v>2.1772411745608728</v>
      </c>
      <c r="I158" s="733">
        <f t="shared" si="270"/>
        <v>2.3482500657467664</v>
      </c>
      <c r="J158" s="733">
        <f t="shared" si="270"/>
        <v>2.7864941433101578</v>
      </c>
      <c r="K158" s="733">
        <f t="shared" si="270"/>
        <v>2.8812232159511639</v>
      </c>
      <c r="L158" s="733" t="e">
        <f t="shared" si="270"/>
        <v>#DIV/0!</v>
      </c>
      <c r="M158" s="733" t="e">
        <f>SUM(M$139:M$140)+M$143</f>
        <v>#DIV/0!</v>
      </c>
      <c r="N158" s="733" t="e">
        <f>SUM(N$139:N$140)+N$143</f>
        <v>#DIV/0!</v>
      </c>
    </row>
    <row r="159" spans="3:14" ht="30" x14ac:dyDescent="0.25">
      <c r="C159" s="721" t="s">
        <v>497</v>
      </c>
      <c r="E159" s="733">
        <f>E$158/E$126</f>
        <v>2.3182508313159285</v>
      </c>
      <c r="F159" s="733">
        <f t="shared" ref="F159:N159" si="271">F$158/F$126</f>
        <v>3.6068304092461898</v>
      </c>
      <c r="G159" s="733">
        <f t="shared" si="271"/>
        <v>4.3499713929902217</v>
      </c>
      <c r="H159" s="733">
        <f t="shared" si="271"/>
        <v>2.2631568516731293</v>
      </c>
      <c r="I159" s="733">
        <f t="shared" si="271"/>
        <v>2.4424828529735811</v>
      </c>
      <c r="J159" s="733">
        <f t="shared" si="271"/>
        <v>2.8774788602581656</v>
      </c>
      <c r="K159" s="733">
        <f t="shared" si="271"/>
        <v>2.9200643747664783</v>
      </c>
      <c r="L159" s="733" t="e">
        <f t="shared" si="271"/>
        <v>#DIV/0!</v>
      </c>
      <c r="M159" s="733" t="e">
        <f t="shared" si="271"/>
        <v>#DIV/0!</v>
      </c>
      <c r="N159" s="733" t="e">
        <f t="shared" si="271"/>
        <v>#DIV/0!</v>
      </c>
    </row>
    <row r="160" spans="3:14" x14ac:dyDescent="0.25">
      <c r="C160" s="2" t="s">
        <v>495</v>
      </c>
      <c r="E160" s="733">
        <f>E$147+E$148</f>
        <v>31.458782608695653</v>
      </c>
      <c r="F160" s="733">
        <f t="shared" ref="F160:N160" si="272">F$147+F$148</f>
        <v>34.449475151043636</v>
      </c>
      <c r="G160" s="733">
        <f t="shared" si="272"/>
        <v>34.08772893772894</v>
      </c>
      <c r="H160" s="733">
        <f t="shared" si="272"/>
        <v>33.155381776239906</v>
      </c>
      <c r="I160" s="733">
        <f t="shared" si="272"/>
        <v>33.841101596852582</v>
      </c>
      <c r="J160" s="733">
        <f t="shared" si="272"/>
        <v>33.50762523191095</v>
      </c>
      <c r="K160" s="733">
        <f t="shared" si="272"/>
        <v>35.353206772703942</v>
      </c>
      <c r="L160" s="733" t="e">
        <f t="shared" si="272"/>
        <v>#DIV/0!</v>
      </c>
      <c r="M160" s="733" t="e">
        <f t="shared" si="272"/>
        <v>#DIV/0!</v>
      </c>
      <c r="N160" s="733" t="e">
        <f t="shared" si="272"/>
        <v>#DIV/0!</v>
      </c>
    </row>
    <row r="162" spans="3:14" x14ac:dyDescent="0.25">
      <c r="C162" s="722" t="s">
        <v>456</v>
      </c>
      <c r="D162" s="724"/>
      <c r="E162" s="942">
        <f>'MEBU HPS DAILY'!M$86*10000</f>
        <v>600</v>
      </c>
      <c r="F162" s="942">
        <f>'MEBU HPS DAILY'!N$86*10000</f>
        <v>500</v>
      </c>
      <c r="G162" s="942">
        <f>'MEBU HPS DAILY'!O$86*10000</f>
        <v>300</v>
      </c>
      <c r="H162" s="942">
        <f>'MEBU HPS DAILY'!P$86*10000</f>
        <v>400</v>
      </c>
      <c r="I162" s="942">
        <f>'MEBU HPS DAILY'!Q$86*10000</f>
        <v>600</v>
      </c>
      <c r="J162" s="942">
        <f>'MEBU HPS DAILY'!R$86*10000</f>
        <v>200</v>
      </c>
      <c r="K162" s="942">
        <f>'MEBU HPS DAILY'!S$86*10000</f>
        <v>500</v>
      </c>
      <c r="L162" s="942">
        <f>'MEBU HPS DAILY'!T$86*10000</f>
        <v>2100</v>
      </c>
      <c r="M162" s="942">
        <f>'MEBU HPS DAILY'!U$86*10000</f>
        <v>310</v>
      </c>
      <c r="N162" s="942">
        <f>'MEBU HPS DAILY'!V$86*10000</f>
        <v>690.00000000000011</v>
      </c>
    </row>
    <row r="163" spans="3:14" x14ac:dyDescent="0.25">
      <c r="C163" s="713" t="s">
        <v>428</v>
      </c>
      <c r="D163" s="714"/>
      <c r="E163" s="779">
        <v>202</v>
      </c>
      <c r="F163" s="779">
        <v>220</v>
      </c>
      <c r="G163" s="779">
        <v>139</v>
      </c>
      <c r="H163" s="779">
        <v>164</v>
      </c>
      <c r="I163" s="779">
        <v>278</v>
      </c>
      <c r="J163" s="779">
        <v>596</v>
      </c>
      <c r="K163" s="779"/>
      <c r="L163" s="779"/>
      <c r="M163" s="779"/>
      <c r="N163" s="779"/>
    </row>
    <row r="166" spans="3:14" x14ac:dyDescent="0.25">
      <c r="D166" t="s">
        <v>494</v>
      </c>
    </row>
  </sheetData>
  <mergeCells count="9">
    <mergeCell ref="P45:Z45"/>
    <mergeCell ref="AB45:AL45"/>
    <mergeCell ref="D45:N45"/>
    <mergeCell ref="AZ36:BI36"/>
    <mergeCell ref="AZ74:BI74"/>
    <mergeCell ref="AZ50:BI50"/>
    <mergeCell ref="AN36:AW36"/>
    <mergeCell ref="AZ45:BJ45"/>
    <mergeCell ref="AN45:AX45"/>
  </mergeCells>
  <phoneticPr fontId="40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433E-2227-4F76-B0F6-F0FA35FE6C2B}">
  <dimension ref="A1"/>
  <sheetViews>
    <sheetView workbookViewId="0">
      <selection activeCell="Q23" sqref="Q23"/>
    </sheetView>
  </sheetViews>
  <sheetFormatPr defaultColWidth="8.7109375" defaultRowHeight="15" x14ac:dyDescent="0.25"/>
  <cols>
    <col min="1" max="16384" width="8.7109375" style="717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F76EF-9ED3-4BD6-B6E3-B20F25057C95}">
  <dimension ref="A1"/>
  <sheetViews>
    <sheetView topLeftCell="A4" workbookViewId="0">
      <selection activeCell="P23" sqref="P23"/>
    </sheetView>
  </sheetViews>
  <sheetFormatPr defaultColWidth="8.7109375" defaultRowHeight="15" x14ac:dyDescent="0.25"/>
  <cols>
    <col min="1" max="16384" width="8.7109375" style="717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50F1A-38BC-4A7B-8EC0-F47CD4A6C33E}">
  <dimension ref="A1"/>
  <sheetViews>
    <sheetView workbookViewId="0">
      <selection activeCell="L37" sqref="L37"/>
    </sheetView>
  </sheetViews>
  <sheetFormatPr defaultColWidth="8.7109375" defaultRowHeight="15" x14ac:dyDescent="0.25"/>
  <cols>
    <col min="1" max="16384" width="8.7109375" style="717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3125-B1CD-4457-B27E-5E2EEACA13F5}">
  <dimension ref="A1"/>
  <sheetViews>
    <sheetView workbookViewId="0">
      <selection activeCell="S17" sqref="S17"/>
    </sheetView>
  </sheetViews>
  <sheetFormatPr defaultColWidth="8.7109375" defaultRowHeight="15" x14ac:dyDescent="0.25"/>
  <cols>
    <col min="1" max="16384" width="8.7109375" style="717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142C2-F689-4587-984D-72ABF006C56C}">
  <dimension ref="A1"/>
  <sheetViews>
    <sheetView workbookViewId="0">
      <selection activeCell="R13" sqref="R13"/>
    </sheetView>
  </sheetViews>
  <sheetFormatPr defaultRowHeight="15" x14ac:dyDescent="0.25"/>
  <cols>
    <col min="1" max="16384" width="9.140625" style="717"/>
  </cols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E0A9-82EC-474C-925F-48133BC65515}">
  <dimension ref="A1"/>
  <sheetViews>
    <sheetView topLeftCell="B1" workbookViewId="0">
      <selection activeCell="G31" sqref="G31"/>
    </sheetView>
  </sheetViews>
  <sheetFormatPr defaultRowHeight="15" x14ac:dyDescent="0.25"/>
  <cols>
    <col min="1" max="16384" width="9.140625" style="732"/>
  </cols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C205A-3394-48BF-8A53-7EB8B68C053D}">
  <dimension ref="C1:Q26"/>
  <sheetViews>
    <sheetView workbookViewId="0">
      <selection activeCell="E18" sqref="E18"/>
    </sheetView>
  </sheetViews>
  <sheetFormatPr defaultRowHeight="15" x14ac:dyDescent="0.25"/>
  <cols>
    <col min="1" max="1" width="6.7109375" customWidth="1"/>
    <col min="2" max="2" width="6.28515625" customWidth="1"/>
    <col min="3" max="3" width="29" customWidth="1"/>
    <col min="4" max="4" width="19.7109375" customWidth="1"/>
    <col min="5" max="5" width="5.28515625" customWidth="1"/>
    <col min="6" max="6" width="4.42578125" customWidth="1"/>
    <col min="7" max="7" width="12.42578125" customWidth="1"/>
    <col min="8" max="8" width="10.5703125" customWidth="1"/>
    <col min="9" max="9" width="20.140625" customWidth="1"/>
    <col min="10" max="10" width="12.28515625" customWidth="1"/>
    <col min="11" max="11" width="3.42578125" customWidth="1"/>
    <col min="12" max="12" width="12.85546875" customWidth="1"/>
    <col min="14" max="14" width="13.85546875" customWidth="1"/>
  </cols>
  <sheetData>
    <row r="1" spans="3:17" ht="15.75" thickBot="1" x14ac:dyDescent="0.3"/>
    <row r="2" spans="3:17" ht="30" customHeight="1" thickBot="1" x14ac:dyDescent="0.3">
      <c r="D2" s="721" t="s">
        <v>475</v>
      </c>
      <c r="E2" s="721"/>
      <c r="G2" s="754" t="s">
        <v>476</v>
      </c>
      <c r="H2" s="755"/>
      <c r="I2" s="755"/>
      <c r="J2" s="755"/>
      <c r="K2" s="755"/>
      <c r="L2" s="756"/>
      <c r="N2" s="769" t="s">
        <v>478</v>
      </c>
      <c r="O2" s="773">
        <v>1</v>
      </c>
      <c r="P2" s="774">
        <v>2</v>
      </c>
      <c r="Q2" s="775">
        <v>3</v>
      </c>
    </row>
    <row r="3" spans="3:17" x14ac:dyDescent="0.25">
      <c r="G3" s="761"/>
      <c r="H3" s="739"/>
      <c r="I3" s="739"/>
      <c r="J3" s="739"/>
      <c r="K3" s="739"/>
      <c r="L3" s="762"/>
      <c r="N3" s="770" t="s">
        <v>487</v>
      </c>
      <c r="O3" s="772"/>
      <c r="P3" s="766"/>
      <c r="Q3" s="767"/>
    </row>
    <row r="4" spans="3:17" ht="15.75" thickBot="1" x14ac:dyDescent="0.3">
      <c r="C4" t="s">
        <v>462</v>
      </c>
      <c r="D4">
        <v>0.23</v>
      </c>
      <c r="G4" s="757" t="s">
        <v>351</v>
      </c>
      <c r="H4" s="758" t="s">
        <v>482</v>
      </c>
      <c r="I4" s="758" t="s">
        <v>483</v>
      </c>
      <c r="J4" s="758" t="s">
        <v>488</v>
      </c>
      <c r="K4" s="759" t="s">
        <v>484</v>
      </c>
      <c r="L4" s="760" t="s">
        <v>471</v>
      </c>
      <c r="N4" s="771" t="s">
        <v>464</v>
      </c>
      <c r="O4" s="768"/>
      <c r="P4" s="765"/>
      <c r="Q4" s="748"/>
    </row>
    <row r="5" spans="3:17" ht="15.75" thickBot="1" x14ac:dyDescent="0.3">
      <c r="C5" t="s">
        <v>466</v>
      </c>
      <c r="D5" s="786">
        <v>1.46</v>
      </c>
      <c r="G5" s="740">
        <f>D11</f>
        <v>3</v>
      </c>
      <c r="H5" s="742">
        <f>D6</f>
        <v>0.33579999999999999</v>
      </c>
      <c r="I5" s="742">
        <f>(100/(100-G8))^(1/G5)-1</f>
        <v>0.51567186201905213</v>
      </c>
      <c r="J5" s="742">
        <f>EXP($D$22/($D$23*H8))</f>
        <v>109740181872422.95</v>
      </c>
      <c r="K5" s="742"/>
      <c r="L5" s="753">
        <f>G5*H5*I5*J5</f>
        <v>57008689361502.797</v>
      </c>
    </row>
    <row r="6" spans="3:17" ht="15.75" thickBot="1" x14ac:dyDescent="0.3">
      <c r="C6" t="s">
        <v>457</v>
      </c>
      <c r="D6">
        <f>D$4*D$5</f>
        <v>0.33579999999999999</v>
      </c>
      <c r="G6" s="734"/>
      <c r="L6" s="780">
        <f>D26</f>
        <v>68639256634551.18</v>
      </c>
    </row>
    <row r="7" spans="3:17" x14ac:dyDescent="0.25">
      <c r="C7" t="s">
        <v>458</v>
      </c>
      <c r="D7">
        <v>186</v>
      </c>
      <c r="G7" s="746" t="s">
        <v>485</v>
      </c>
      <c r="H7" s="749" t="s">
        <v>474</v>
      </c>
      <c r="I7" s="751" t="s">
        <v>486</v>
      </c>
      <c r="L7" s="735"/>
    </row>
    <row r="8" spans="3:17" ht="15.75" thickBot="1" x14ac:dyDescent="0.3">
      <c r="C8" t="s">
        <v>459</v>
      </c>
      <c r="D8">
        <v>423.54</v>
      </c>
      <c r="G8" s="747">
        <v>71.28</v>
      </c>
      <c r="H8" s="750">
        <f>I8+273.15+4</f>
        <v>700.52</v>
      </c>
      <c r="I8" s="752">
        <f>D20</f>
        <v>423.37000000000006</v>
      </c>
      <c r="J8" s="737"/>
      <c r="K8" s="737"/>
      <c r="L8" s="738"/>
    </row>
    <row r="9" spans="3:17" x14ac:dyDescent="0.25">
      <c r="C9" t="s">
        <v>460</v>
      </c>
      <c r="D9" s="733">
        <v>423.2</v>
      </c>
      <c r="E9" s="733"/>
    </row>
    <row r="10" spans="3:17" x14ac:dyDescent="0.25">
      <c r="C10" t="s">
        <v>461</v>
      </c>
      <c r="D10">
        <v>423.37</v>
      </c>
    </row>
    <row r="11" spans="3:17" x14ac:dyDescent="0.25">
      <c r="C11" t="s">
        <v>463</v>
      </c>
      <c r="D11">
        <v>3</v>
      </c>
    </row>
    <row r="12" spans="3:17" x14ac:dyDescent="0.25">
      <c r="C12" t="s">
        <v>485</v>
      </c>
      <c r="D12">
        <v>71.28</v>
      </c>
      <c r="G12" s="745"/>
    </row>
    <row r="13" spans="3:17" x14ac:dyDescent="0.25">
      <c r="C13" t="s">
        <v>472</v>
      </c>
      <c r="D13">
        <f>((100/(100-D$12))^(1/D$11)-1)*D$6*D$11</f>
        <v>0.51948783379799313</v>
      </c>
    </row>
    <row r="14" spans="3:17" x14ac:dyDescent="0.25">
      <c r="C14" t="s">
        <v>471</v>
      </c>
      <c r="D14">
        <f>D$13*EXP(D$22/(D$23*D$21))</f>
        <v>68639256634551.18</v>
      </c>
    </row>
    <row r="15" spans="3:17" x14ac:dyDescent="0.25">
      <c r="G15" s="2"/>
    </row>
    <row r="16" spans="3:17" x14ac:dyDescent="0.25">
      <c r="C16" t="s">
        <v>490</v>
      </c>
      <c r="D16">
        <f>100/(100-D$12)</f>
        <v>3.4818941504178276</v>
      </c>
      <c r="G16" s="736"/>
    </row>
    <row r="17" spans="3:7" x14ac:dyDescent="0.25">
      <c r="C17" t="s">
        <v>491</v>
      </c>
      <c r="D17">
        <f>D$16^(1/D$11)</f>
        <v>1.5156718620190521</v>
      </c>
    </row>
    <row r="18" spans="3:7" x14ac:dyDescent="0.25">
      <c r="C18" s="776" t="s">
        <v>489</v>
      </c>
      <c r="D18" s="776">
        <f>D$17-1</f>
        <v>0.51567186201905213</v>
      </c>
    </row>
    <row r="19" spans="3:7" x14ac:dyDescent="0.25">
      <c r="C19" t="s">
        <v>472</v>
      </c>
      <c r="D19">
        <f>D$11*D$6*D$18</f>
        <v>0.51948783379799313</v>
      </c>
    </row>
    <row r="20" spans="3:7" x14ac:dyDescent="0.25">
      <c r="C20" t="s">
        <v>473</v>
      </c>
      <c r="D20">
        <f>AVERAGE(D8:D10)</f>
        <v>423.37000000000006</v>
      </c>
    </row>
    <row r="21" spans="3:7" x14ac:dyDescent="0.25">
      <c r="C21" t="s">
        <v>465</v>
      </c>
      <c r="D21">
        <f>D$20+273.15</f>
        <v>696.52</v>
      </c>
    </row>
    <row r="22" spans="3:7" x14ac:dyDescent="0.25">
      <c r="C22" t="s">
        <v>468</v>
      </c>
      <c r="D22">
        <v>45000</v>
      </c>
    </row>
    <row r="23" spans="3:7" x14ac:dyDescent="0.25">
      <c r="C23" t="s">
        <v>467</v>
      </c>
      <c r="D23">
        <v>1.9870000000000001</v>
      </c>
    </row>
    <row r="24" spans="3:7" x14ac:dyDescent="0.25">
      <c r="C24" t="s">
        <v>469</v>
      </c>
      <c r="D24">
        <f>D$22/(D$23*D$21)</f>
        <v>32.514797628911133</v>
      </c>
    </row>
    <row r="25" spans="3:7" ht="15.75" thickBot="1" x14ac:dyDescent="0.3">
      <c r="C25" t="s">
        <v>470</v>
      </c>
      <c r="D25">
        <f>EXP(D$24)</f>
        <v>132128708641215.44</v>
      </c>
    </row>
    <row r="26" spans="3:7" ht="15.75" thickBot="1" x14ac:dyDescent="0.3">
      <c r="C26" s="763" t="s">
        <v>471</v>
      </c>
      <c r="D26" s="764">
        <f>D$25*D$19</f>
        <v>68639256634551.18</v>
      </c>
      <c r="E26" s="693"/>
      <c r="F26" s="693"/>
      <c r="G26" s="69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91B2-32B8-4CE7-963E-DCD4FAFE3249}">
  <sheetPr>
    <tabColor rgb="FFFF0000"/>
    <pageSetUpPr fitToPage="1"/>
  </sheetPr>
  <dimension ref="B1:X114"/>
  <sheetViews>
    <sheetView showGridLines="0" tabSelected="1" zoomScale="70" zoomScaleNormal="70" zoomScaleSheetLayoutView="100" workbookViewId="0">
      <pane xSplit="4" ySplit="7" topLeftCell="I85" activePane="bottomRight" state="frozen"/>
      <selection pane="topRight" activeCell="E1" sqref="E1"/>
      <selection pane="bottomLeft" activeCell="A8" sqref="A8"/>
      <selection pane="bottomRight" activeCell="U112" sqref="U112"/>
    </sheetView>
  </sheetViews>
  <sheetFormatPr defaultColWidth="9.140625" defaultRowHeight="17.25" x14ac:dyDescent="0.3"/>
  <cols>
    <col min="1" max="2" width="9.140625" style="525"/>
    <col min="3" max="3" width="1" style="525" customWidth="1"/>
    <col min="4" max="4" width="31.28515625" style="538" customWidth="1"/>
    <col min="5" max="5" width="31.85546875" style="538" bestFit="1" customWidth="1"/>
    <col min="6" max="6" width="14.42578125" style="538" customWidth="1"/>
    <col min="7" max="21" width="22.7109375" style="538" customWidth="1"/>
    <col min="22" max="22" width="22.7109375" style="525" customWidth="1"/>
    <col min="23" max="16384" width="9.140625" style="525"/>
  </cols>
  <sheetData>
    <row r="1" spans="4:22" ht="26.25" customHeight="1" x14ac:dyDescent="0.35">
      <c r="D1" s="855" t="s">
        <v>9</v>
      </c>
      <c r="E1" s="855"/>
      <c r="F1" s="855"/>
      <c r="G1" s="855"/>
      <c r="H1" s="855"/>
      <c r="I1" s="522"/>
      <c r="J1" s="523"/>
      <c r="K1" s="523"/>
      <c r="L1" s="523"/>
      <c r="M1" s="523"/>
      <c r="N1" s="523"/>
      <c r="O1" s="523"/>
      <c r="P1" s="523"/>
      <c r="Q1" s="523"/>
      <c r="R1" s="523"/>
      <c r="S1" s="523"/>
      <c r="T1" s="523"/>
      <c r="U1" s="523"/>
    </row>
    <row r="2" spans="4:22" ht="30.75" customHeight="1" x14ac:dyDescent="0.3">
      <c r="D2" s="526" t="s">
        <v>10</v>
      </c>
      <c r="E2" s="527" t="s">
        <v>11</v>
      </c>
      <c r="F2" s="528"/>
      <c r="G2" s="528"/>
      <c r="H2" s="529"/>
      <c r="I2" s="529"/>
      <c r="J2" s="525"/>
      <c r="K2" s="525"/>
      <c r="L2" s="530"/>
      <c r="M2" s="530"/>
      <c r="N2" s="530"/>
      <c r="O2" s="530"/>
      <c r="P2" s="530"/>
      <c r="Q2" s="530"/>
      <c r="R2" s="530"/>
      <c r="S2" s="530"/>
      <c r="T2" s="530"/>
      <c r="U2" s="530"/>
    </row>
    <row r="3" spans="4:22" ht="26.25" customHeight="1" x14ac:dyDescent="0.3">
      <c r="D3" s="526" t="s">
        <v>12</v>
      </c>
      <c r="E3" s="532" t="s">
        <v>13</v>
      </c>
      <c r="F3" s="533"/>
      <c r="G3" s="533"/>
      <c r="H3" s="529"/>
      <c r="I3" s="529"/>
      <c r="J3" s="525"/>
      <c r="K3" s="525"/>
      <c r="L3" s="857" t="s">
        <v>518</v>
      </c>
      <c r="M3" s="857"/>
      <c r="N3" s="857"/>
      <c r="O3" s="857"/>
      <c r="P3" s="857"/>
      <c r="Q3" s="857"/>
      <c r="R3" s="857"/>
      <c r="S3" s="857"/>
      <c r="T3" s="857"/>
      <c r="U3" s="857"/>
      <c r="V3" s="857"/>
    </row>
    <row r="4" spans="4:22" ht="28.5" customHeight="1" x14ac:dyDescent="0.3">
      <c r="D4" s="526" t="s">
        <v>14</v>
      </c>
      <c r="E4" s="534" t="s">
        <v>15</v>
      </c>
      <c r="F4" s="533"/>
      <c r="G4" s="533"/>
      <c r="H4" s="856" t="s">
        <v>357</v>
      </c>
      <c r="I4" s="856"/>
      <c r="J4" s="856"/>
      <c r="K4" s="856"/>
      <c r="L4" s="858" t="s">
        <v>330</v>
      </c>
      <c r="M4" s="858"/>
      <c r="N4" s="858"/>
      <c r="O4" s="858"/>
      <c r="P4" s="858"/>
      <c r="Q4" s="858"/>
      <c r="R4" s="858"/>
      <c r="S4" s="858"/>
      <c r="T4" s="858"/>
      <c r="U4" s="858"/>
      <c r="V4" s="858"/>
    </row>
    <row r="5" spans="4:22" ht="56.25" customHeight="1" x14ac:dyDescent="0.3">
      <c r="D5" s="537"/>
      <c r="H5" s="539" t="s">
        <v>16</v>
      </c>
      <c r="I5" s="539" t="s">
        <v>18</v>
      </c>
      <c r="J5" s="539" t="s">
        <v>358</v>
      </c>
      <c r="K5" s="539" t="s">
        <v>359</v>
      </c>
      <c r="L5" s="540" t="s">
        <v>360</v>
      </c>
      <c r="M5" s="540" t="s">
        <v>332</v>
      </c>
      <c r="N5" s="540" t="s">
        <v>333</v>
      </c>
      <c r="O5" s="540" t="s">
        <v>334</v>
      </c>
      <c r="P5" s="540" t="s">
        <v>335</v>
      </c>
      <c r="Q5" s="540" t="s">
        <v>336</v>
      </c>
      <c r="R5" s="540" t="s">
        <v>337</v>
      </c>
      <c r="S5" s="540" t="s">
        <v>371</v>
      </c>
      <c r="T5" s="540" t="s">
        <v>372</v>
      </c>
      <c r="U5" s="540" t="s">
        <v>373</v>
      </c>
      <c r="V5" s="540" t="s">
        <v>519</v>
      </c>
    </row>
    <row r="6" spans="4:22" ht="17.25" customHeight="1" thickBot="1" x14ac:dyDescent="0.35">
      <c r="D6" s="537"/>
      <c r="H6" s="530" t="s">
        <v>20</v>
      </c>
      <c r="I6" s="530" t="s">
        <v>21</v>
      </c>
      <c r="J6" s="530" t="s">
        <v>361</v>
      </c>
      <c r="K6" s="530" t="s">
        <v>362</v>
      </c>
      <c r="L6" s="530" t="s">
        <v>363</v>
      </c>
      <c r="M6" s="530" t="s">
        <v>339</v>
      </c>
      <c r="N6" s="530" t="s">
        <v>340</v>
      </c>
      <c r="O6" s="530" t="s">
        <v>341</v>
      </c>
      <c r="P6" s="530" t="s">
        <v>342</v>
      </c>
      <c r="Q6" s="530" t="s">
        <v>343</v>
      </c>
      <c r="R6" s="530" t="s">
        <v>344</v>
      </c>
      <c r="S6" s="530" t="s">
        <v>502</v>
      </c>
      <c r="T6" s="530" t="s">
        <v>506</v>
      </c>
      <c r="U6" s="530" t="s">
        <v>507</v>
      </c>
      <c r="V6" s="530" t="s">
        <v>520</v>
      </c>
    </row>
    <row r="7" spans="4:22" ht="18" thickBot="1" x14ac:dyDescent="0.35">
      <c r="D7" s="541" t="s">
        <v>22</v>
      </c>
      <c r="E7" s="542" t="s">
        <v>23</v>
      </c>
      <c r="F7" s="543" t="s">
        <v>24</v>
      </c>
      <c r="G7" s="544" t="s">
        <v>25</v>
      </c>
      <c r="H7" s="544" t="s">
        <v>26</v>
      </c>
      <c r="I7" s="634" t="s">
        <v>26</v>
      </c>
      <c r="J7" s="634" t="s">
        <v>26</v>
      </c>
      <c r="K7" s="635" t="s">
        <v>26</v>
      </c>
      <c r="L7" s="635" t="s">
        <v>26</v>
      </c>
      <c r="M7" s="635" t="s">
        <v>26</v>
      </c>
      <c r="N7" s="635" t="s">
        <v>26</v>
      </c>
      <c r="O7" s="635" t="s">
        <v>26</v>
      </c>
      <c r="P7" s="635" t="s">
        <v>26</v>
      </c>
      <c r="Q7" s="635" t="s">
        <v>26</v>
      </c>
      <c r="R7" s="635" t="s">
        <v>26</v>
      </c>
      <c r="S7" s="783" t="s">
        <v>26</v>
      </c>
      <c r="T7" s="783" t="s">
        <v>26</v>
      </c>
      <c r="U7" s="783" t="s">
        <v>26</v>
      </c>
      <c r="V7" s="783" t="s">
        <v>26</v>
      </c>
    </row>
    <row r="8" spans="4:22" ht="19.5" customHeight="1" x14ac:dyDescent="0.3">
      <c r="D8" s="545" t="s">
        <v>27</v>
      </c>
      <c r="E8" s="546" t="s">
        <v>28</v>
      </c>
      <c r="F8" s="547" t="s">
        <v>29</v>
      </c>
      <c r="G8" s="548">
        <v>100</v>
      </c>
      <c r="H8" s="549"/>
      <c r="I8" s="550"/>
      <c r="J8" s="550"/>
      <c r="K8" s="551"/>
      <c r="L8" s="551"/>
      <c r="M8" s="551"/>
      <c r="N8" s="551"/>
      <c r="O8" s="551"/>
      <c r="P8" s="551"/>
      <c r="Q8" s="551"/>
      <c r="R8" s="551"/>
      <c r="S8" s="551"/>
      <c r="T8" s="551"/>
      <c r="U8" s="551"/>
      <c r="V8" s="551"/>
    </row>
    <row r="9" spans="4:22" ht="19.5" customHeight="1" x14ac:dyDescent="0.3">
      <c r="D9" s="552" t="s">
        <v>30</v>
      </c>
      <c r="E9" s="553" t="s">
        <v>28</v>
      </c>
      <c r="F9" s="554" t="s">
        <v>31</v>
      </c>
      <c r="G9" s="555"/>
      <c r="H9" s="556"/>
      <c r="I9" s="557"/>
      <c r="J9" s="557"/>
      <c r="K9" s="558"/>
      <c r="L9" s="558"/>
      <c r="M9" s="558"/>
      <c r="N9" s="558"/>
      <c r="O9" s="558"/>
      <c r="P9" s="558"/>
      <c r="Q9" s="558"/>
      <c r="R9" s="558"/>
      <c r="S9" s="558"/>
      <c r="T9" s="558"/>
      <c r="U9" s="558"/>
      <c r="V9" s="558"/>
    </row>
    <row r="10" spans="4:22" ht="19.5" customHeight="1" x14ac:dyDescent="0.3">
      <c r="D10" s="559" t="s">
        <v>32</v>
      </c>
      <c r="E10" s="553" t="s">
        <v>33</v>
      </c>
      <c r="F10" s="554" t="s">
        <v>34</v>
      </c>
      <c r="G10" s="560"/>
      <c r="H10" s="561">
        <v>0.98009999999999997</v>
      </c>
      <c r="I10" s="562">
        <v>0.98270000000000002</v>
      </c>
      <c r="J10" s="562">
        <v>0.98470000000000002</v>
      </c>
      <c r="K10" s="563">
        <v>0.98509999999999998</v>
      </c>
      <c r="L10" s="563">
        <v>0.94230000000000003</v>
      </c>
      <c r="M10" s="563">
        <v>0.9446</v>
      </c>
      <c r="N10" s="563">
        <v>0.94910000000000005</v>
      </c>
      <c r="O10" s="563">
        <v>0.95109999999999995</v>
      </c>
      <c r="P10" s="563">
        <v>0.95369999999999999</v>
      </c>
      <c r="Q10" s="563">
        <v>0.9546</v>
      </c>
      <c r="R10" s="563">
        <v>0.95289999999999997</v>
      </c>
      <c r="S10" s="788">
        <v>0.95399999999999996</v>
      </c>
      <c r="T10" s="563">
        <v>0.9536</v>
      </c>
      <c r="U10" s="563">
        <v>0.95489999999999997</v>
      </c>
      <c r="V10" s="563">
        <v>0.95550000000000002</v>
      </c>
    </row>
    <row r="11" spans="4:22" ht="19.5" customHeight="1" x14ac:dyDescent="0.3">
      <c r="D11" s="559" t="s">
        <v>35</v>
      </c>
      <c r="E11" s="553" t="s">
        <v>36</v>
      </c>
      <c r="F11" s="554" t="s">
        <v>28</v>
      </c>
      <c r="G11" s="561">
        <v>1.08</v>
      </c>
      <c r="H11" s="560"/>
      <c r="I11" s="564"/>
      <c r="J11" s="564"/>
      <c r="K11" s="565"/>
      <c r="L11" s="565"/>
      <c r="M11" s="565"/>
      <c r="N11" s="565"/>
      <c r="O11" s="565"/>
      <c r="P11" s="565"/>
      <c r="Q11" s="565"/>
      <c r="R11" s="565"/>
      <c r="S11" s="565"/>
      <c r="T11" s="565"/>
      <c r="U11" s="565"/>
      <c r="V11" s="565"/>
    </row>
    <row r="12" spans="4:22" ht="19.5" customHeight="1" x14ac:dyDescent="0.3">
      <c r="D12" s="566" t="s">
        <v>37</v>
      </c>
      <c r="E12" s="854" t="s">
        <v>38</v>
      </c>
      <c r="F12" s="843" t="s">
        <v>39</v>
      </c>
      <c r="G12" s="560"/>
      <c r="H12" s="560"/>
      <c r="I12" s="564"/>
      <c r="J12" s="564"/>
      <c r="K12" s="565"/>
      <c r="L12" s="565"/>
      <c r="M12" s="565"/>
      <c r="N12" s="565"/>
      <c r="O12" s="565"/>
      <c r="P12" s="565"/>
      <c r="Q12" s="565"/>
      <c r="R12" s="565"/>
      <c r="S12" s="565"/>
      <c r="T12" s="565"/>
      <c r="U12" s="565"/>
      <c r="V12" s="565"/>
    </row>
    <row r="13" spans="4:22" ht="19.5" customHeight="1" x14ac:dyDescent="0.3">
      <c r="D13" s="566" t="s">
        <v>40</v>
      </c>
      <c r="E13" s="838"/>
      <c r="F13" s="844"/>
      <c r="G13" s="569"/>
      <c r="H13" s="569"/>
      <c r="I13" s="579"/>
      <c r="J13" s="579"/>
      <c r="K13" s="580"/>
      <c r="L13" s="580"/>
      <c r="M13" s="580"/>
      <c r="N13" s="580"/>
      <c r="O13" s="580"/>
      <c r="P13" s="580"/>
      <c r="Q13" s="580"/>
      <c r="R13" s="580"/>
      <c r="S13" s="580"/>
      <c r="T13" s="580"/>
      <c r="U13" s="580"/>
      <c r="V13" s="580"/>
    </row>
    <row r="14" spans="4:22" ht="19.5" customHeight="1" x14ac:dyDescent="0.3">
      <c r="D14" s="566" t="s">
        <v>41</v>
      </c>
      <c r="E14" s="838"/>
      <c r="F14" s="844"/>
      <c r="G14" s="569"/>
      <c r="H14" s="584"/>
      <c r="I14" s="636"/>
      <c r="J14" s="636"/>
      <c r="K14" s="637"/>
      <c r="L14" s="637"/>
      <c r="M14" s="637"/>
      <c r="N14" s="637"/>
      <c r="O14" s="637"/>
      <c r="P14" s="637"/>
      <c r="Q14" s="637"/>
      <c r="R14" s="637"/>
      <c r="S14" s="637"/>
      <c r="T14" s="637"/>
      <c r="U14" s="637"/>
      <c r="V14" s="637"/>
    </row>
    <row r="15" spans="4:22" ht="19.5" customHeight="1" x14ac:dyDescent="0.3">
      <c r="D15" s="566" t="s">
        <v>42</v>
      </c>
      <c r="E15" s="838"/>
      <c r="F15" s="844"/>
      <c r="G15" s="569"/>
      <c r="H15" s="584"/>
      <c r="I15" s="611"/>
      <c r="J15" s="611"/>
      <c r="K15" s="612"/>
      <c r="L15" s="612"/>
      <c r="M15" s="612"/>
      <c r="N15" s="612"/>
      <c r="O15" s="612"/>
      <c r="P15" s="612"/>
      <c r="Q15" s="612"/>
      <c r="R15" s="612"/>
      <c r="S15" s="612"/>
      <c r="T15" s="612"/>
      <c r="U15" s="612"/>
      <c r="V15" s="612"/>
    </row>
    <row r="16" spans="4:22" ht="19.5" customHeight="1" x14ac:dyDescent="0.3">
      <c r="D16" s="566" t="s">
        <v>43</v>
      </c>
      <c r="E16" s="838"/>
      <c r="F16" s="844"/>
      <c r="G16" s="569"/>
      <c r="H16" s="569"/>
      <c r="I16" s="579"/>
      <c r="J16" s="579"/>
      <c r="K16" s="580"/>
      <c r="L16" s="580"/>
      <c r="M16" s="580"/>
      <c r="N16" s="580"/>
      <c r="O16" s="580"/>
      <c r="P16" s="580"/>
      <c r="Q16" s="580"/>
      <c r="R16" s="580"/>
      <c r="S16" s="580"/>
      <c r="T16" s="580"/>
      <c r="U16" s="580"/>
      <c r="V16" s="580"/>
    </row>
    <row r="17" spans="2:22" ht="19.5" customHeight="1" x14ac:dyDescent="0.3">
      <c r="D17" s="566" t="s">
        <v>44</v>
      </c>
      <c r="E17" s="839"/>
      <c r="F17" s="845"/>
      <c r="G17" s="581"/>
      <c r="H17" s="569"/>
      <c r="I17" s="579"/>
      <c r="J17" s="579"/>
      <c r="K17" s="580"/>
      <c r="L17" s="580"/>
      <c r="M17" s="580"/>
      <c r="N17" s="580"/>
      <c r="O17" s="580"/>
      <c r="P17" s="580"/>
      <c r="Q17" s="580"/>
      <c r="R17" s="580"/>
      <c r="S17" s="580"/>
      <c r="T17" s="580"/>
      <c r="U17" s="580"/>
      <c r="V17" s="580"/>
    </row>
    <row r="18" spans="2:22" ht="19.5" customHeight="1" x14ac:dyDescent="0.3">
      <c r="D18" s="850" t="s">
        <v>45</v>
      </c>
      <c r="E18" s="582" t="s">
        <v>46</v>
      </c>
      <c r="F18" s="583" t="s">
        <v>47</v>
      </c>
      <c r="G18" s="584">
        <v>5.9859999999999998</v>
      </c>
      <c r="H18" s="584">
        <v>2.0299999999999998</v>
      </c>
      <c r="I18" s="586">
        <v>2.109</v>
      </c>
      <c r="J18" s="586">
        <v>2.1880000000000002</v>
      </c>
      <c r="K18" s="587">
        <v>2.2200000000000002</v>
      </c>
      <c r="L18" s="638">
        <v>0.83199999999999996</v>
      </c>
      <c r="M18" s="638">
        <v>0.97499999999999998</v>
      </c>
      <c r="N18" s="638">
        <v>1.0900000000000001</v>
      </c>
      <c r="O18" s="638">
        <v>1.155</v>
      </c>
      <c r="P18" s="638">
        <v>1.246</v>
      </c>
      <c r="Q18" s="638">
        <v>1.306</v>
      </c>
      <c r="R18" s="638">
        <v>1.3380000000000001</v>
      </c>
      <c r="S18" s="638">
        <v>1.28</v>
      </c>
      <c r="T18" s="638">
        <v>1.4179999999999999</v>
      </c>
      <c r="U18" s="638">
        <v>1.427</v>
      </c>
      <c r="V18" s="638">
        <v>1.419</v>
      </c>
    </row>
    <row r="19" spans="2:22" ht="19.5" customHeight="1" x14ac:dyDescent="0.3">
      <c r="D19" s="850"/>
      <c r="E19" s="835" t="s">
        <v>48</v>
      </c>
      <c r="F19" s="583" t="s">
        <v>47</v>
      </c>
      <c r="G19" s="569"/>
      <c r="H19" s="569"/>
      <c r="I19" s="579"/>
      <c r="J19" s="579"/>
      <c r="K19" s="580"/>
      <c r="L19" s="580"/>
      <c r="M19" s="580"/>
      <c r="N19" s="580"/>
      <c r="O19" s="580"/>
      <c r="P19" s="580"/>
      <c r="Q19" s="580"/>
      <c r="R19" s="580"/>
      <c r="S19" s="580"/>
      <c r="T19" s="580"/>
      <c r="U19" s="580"/>
      <c r="V19" s="580"/>
    </row>
    <row r="20" spans="2:22" ht="19.5" customHeight="1" x14ac:dyDescent="0.3">
      <c r="D20" s="850"/>
      <c r="E20" s="835"/>
      <c r="F20" s="583" t="s">
        <v>49</v>
      </c>
      <c r="G20" s="569"/>
      <c r="H20" s="569"/>
      <c r="I20" s="579"/>
      <c r="J20" s="579"/>
      <c r="K20" s="580"/>
      <c r="L20" s="580"/>
      <c r="M20" s="580"/>
      <c r="N20" s="580"/>
      <c r="O20" s="580"/>
      <c r="P20" s="580"/>
      <c r="Q20" s="580"/>
      <c r="R20" s="580"/>
      <c r="S20" s="580"/>
      <c r="T20" s="580"/>
      <c r="U20" s="580"/>
      <c r="V20" s="580"/>
    </row>
    <row r="21" spans="2:22" ht="19.5" customHeight="1" x14ac:dyDescent="0.3">
      <c r="D21" s="851" t="s">
        <v>50</v>
      </c>
      <c r="E21" s="588" t="s">
        <v>51</v>
      </c>
      <c r="F21" s="583" t="s">
        <v>49</v>
      </c>
      <c r="G21" s="589"/>
      <c r="H21" s="569"/>
      <c r="I21" s="579"/>
      <c r="J21" s="579"/>
      <c r="K21" s="580"/>
      <c r="L21" s="580"/>
      <c r="M21" s="580"/>
      <c r="N21" s="580"/>
      <c r="O21" s="580"/>
      <c r="P21" s="580"/>
      <c r="Q21" s="580"/>
      <c r="R21" s="580"/>
      <c r="S21" s="580"/>
      <c r="T21" s="580"/>
      <c r="U21" s="580"/>
      <c r="V21" s="580"/>
    </row>
    <row r="22" spans="2:22" ht="19.5" customHeight="1" x14ac:dyDescent="0.3">
      <c r="D22" s="852"/>
      <c r="E22" s="854" t="s">
        <v>52</v>
      </c>
      <c r="F22" s="590" t="s">
        <v>49</v>
      </c>
      <c r="G22" s="591">
        <v>3301</v>
      </c>
      <c r="H22" s="592">
        <v>2654.7</v>
      </c>
      <c r="I22" s="594">
        <v>2696.13</v>
      </c>
      <c r="J22" s="594">
        <v>2750.42</v>
      </c>
      <c r="K22" s="595">
        <v>2720.18</v>
      </c>
      <c r="L22" s="595">
        <v>1961.59</v>
      </c>
      <c r="M22" s="595">
        <v>2158.7800000000002</v>
      </c>
      <c r="N22" s="595">
        <v>2271.88</v>
      </c>
      <c r="O22" s="595">
        <v>2366.33</v>
      </c>
      <c r="P22" s="595">
        <v>2509.62</v>
      </c>
      <c r="Q22" s="595">
        <v>2583.09</v>
      </c>
      <c r="R22" s="595">
        <v>2675.49</v>
      </c>
      <c r="S22" s="595">
        <v>2722.97</v>
      </c>
      <c r="T22" s="595">
        <v>2796.89</v>
      </c>
      <c r="U22" s="595">
        <v>2761.06</v>
      </c>
      <c r="V22" s="595">
        <v>2810.71</v>
      </c>
    </row>
    <row r="23" spans="2:22" ht="19.5" customHeight="1" x14ac:dyDescent="0.3">
      <c r="B23" s="596">
        <v>0.45190000000000002</v>
      </c>
      <c r="D23" s="853"/>
      <c r="E23" s="839"/>
      <c r="F23" s="590" t="s">
        <v>47</v>
      </c>
      <c r="G23" s="597">
        <v>0.3301</v>
      </c>
      <c r="H23" s="598">
        <f>H22/10000</f>
        <v>0.26546999999999998</v>
      </c>
      <c r="I23" s="598">
        <f t="shared" ref="I23:K23" si="0">I22/10000</f>
        <v>0.26961299999999999</v>
      </c>
      <c r="J23" s="598">
        <f t="shared" si="0"/>
        <v>0.27504200000000001</v>
      </c>
      <c r="K23" s="598">
        <f t="shared" si="0"/>
        <v>0.27201799999999998</v>
      </c>
      <c r="L23" s="598">
        <v>0.19620000000000001</v>
      </c>
      <c r="M23" s="598">
        <f>M22/10000</f>
        <v>0.21587800000000001</v>
      </c>
      <c r="N23" s="598">
        <f t="shared" ref="N23:R23" si="1">N22/10000</f>
        <v>0.227188</v>
      </c>
      <c r="O23" s="598">
        <f t="shared" si="1"/>
        <v>0.23663299999999998</v>
      </c>
      <c r="P23" s="598">
        <f t="shared" si="1"/>
        <v>0.25096199999999996</v>
      </c>
      <c r="Q23" s="598">
        <f t="shared" si="1"/>
        <v>0.25830900000000001</v>
      </c>
      <c r="R23" s="598">
        <f t="shared" si="1"/>
        <v>0.26754899999999998</v>
      </c>
      <c r="S23" s="598">
        <f t="shared" ref="S23:U23" si="2">S22/10000</f>
        <v>0.27229699999999996</v>
      </c>
      <c r="T23" s="598">
        <f t="shared" si="2"/>
        <v>0.27968899999999997</v>
      </c>
      <c r="U23" s="598">
        <f t="shared" si="2"/>
        <v>0.27610600000000002</v>
      </c>
      <c r="V23" s="598">
        <f t="shared" ref="V23" si="3">V22/10000</f>
        <v>0.28107100000000002</v>
      </c>
    </row>
    <row r="24" spans="2:22" ht="19.5" customHeight="1" x14ac:dyDescent="0.3">
      <c r="D24" s="599" t="s">
        <v>53</v>
      </c>
      <c r="E24" s="854" t="s">
        <v>54</v>
      </c>
      <c r="F24" s="843" t="s">
        <v>47</v>
      </c>
      <c r="G24" s="569"/>
      <c r="H24" s="569"/>
      <c r="I24" s="579"/>
      <c r="J24" s="579"/>
      <c r="K24" s="580"/>
      <c r="L24" s="580"/>
      <c r="M24" s="580"/>
      <c r="N24" s="580"/>
      <c r="O24" s="580"/>
      <c r="P24" s="580"/>
      <c r="Q24" s="580"/>
      <c r="R24" s="580"/>
      <c r="S24" s="580"/>
      <c r="T24" s="580"/>
      <c r="U24" s="580"/>
      <c r="V24" s="580"/>
    </row>
    <row r="25" spans="2:22" ht="19.5" customHeight="1" x14ac:dyDescent="0.3">
      <c r="B25" s="600"/>
      <c r="D25" s="566" t="s">
        <v>55</v>
      </c>
      <c r="E25" s="838"/>
      <c r="F25" s="844"/>
      <c r="G25" s="584">
        <v>84.31</v>
      </c>
      <c r="H25" s="601">
        <v>87.03</v>
      </c>
      <c r="I25" s="586">
        <v>87.13</v>
      </c>
      <c r="J25" s="586">
        <v>87.21</v>
      </c>
      <c r="K25" s="587">
        <v>87.15</v>
      </c>
      <c r="L25" s="587">
        <v>88.11</v>
      </c>
      <c r="M25" s="587">
        <v>88.14</v>
      </c>
      <c r="N25" s="587">
        <v>87.88</v>
      </c>
      <c r="O25" s="587">
        <v>87.49</v>
      </c>
      <c r="P25" s="587">
        <v>87.66</v>
      </c>
      <c r="Q25" s="587">
        <v>87.51</v>
      </c>
      <c r="R25" s="587">
        <v>87.78</v>
      </c>
      <c r="S25" s="587">
        <v>87.97</v>
      </c>
      <c r="T25" s="587">
        <v>88.01</v>
      </c>
      <c r="U25" s="587">
        <v>87.81</v>
      </c>
      <c r="V25" s="587">
        <v>86.8</v>
      </c>
    </row>
    <row r="26" spans="2:22" ht="19.5" customHeight="1" x14ac:dyDescent="0.3">
      <c r="B26" s="600"/>
      <c r="D26" s="566" t="s">
        <v>56</v>
      </c>
      <c r="E26" s="838"/>
      <c r="F26" s="844"/>
      <c r="G26" s="584">
        <v>9.782</v>
      </c>
      <c r="H26" s="601">
        <v>10.89</v>
      </c>
      <c r="I26" s="586">
        <v>10.87</v>
      </c>
      <c r="J26" s="586">
        <v>10.92</v>
      </c>
      <c r="K26" s="587">
        <v>10.88</v>
      </c>
      <c r="L26" s="587">
        <v>11.45</v>
      </c>
      <c r="M26" s="587">
        <v>11.27</v>
      </c>
      <c r="N26" s="587">
        <v>11.41</v>
      </c>
      <c r="O26" s="587">
        <v>11.41</v>
      </c>
      <c r="P26" s="587">
        <v>11.2</v>
      </c>
      <c r="Q26" s="587">
        <v>11.33</v>
      </c>
      <c r="R26" s="587">
        <v>11.32</v>
      </c>
      <c r="S26" s="587">
        <v>11.23</v>
      </c>
      <c r="T26" s="587">
        <v>11.26</v>
      </c>
      <c r="U26" s="587">
        <v>11.39</v>
      </c>
      <c r="V26" s="587">
        <v>10.94</v>
      </c>
    </row>
    <row r="27" spans="2:22" ht="19.5" customHeight="1" x14ac:dyDescent="0.3">
      <c r="B27" s="600"/>
      <c r="D27" s="566" t="s">
        <v>57</v>
      </c>
      <c r="E27" s="839"/>
      <c r="F27" s="845"/>
      <c r="G27" s="584">
        <v>0.45190000000000002</v>
      </c>
      <c r="H27" s="601">
        <v>0.35</v>
      </c>
      <c r="I27" s="586">
        <v>0.37</v>
      </c>
      <c r="J27" s="586">
        <v>0.36480000000000001</v>
      </c>
      <c r="K27" s="587">
        <v>0.36530000000000001</v>
      </c>
      <c r="L27" s="587">
        <v>0.26750000000000002</v>
      </c>
      <c r="M27" s="587">
        <v>0.30330000000000001</v>
      </c>
      <c r="N27" s="587">
        <v>0.2964</v>
      </c>
      <c r="O27" s="587">
        <v>0.34360000000000002</v>
      </c>
      <c r="P27" s="587">
        <v>0.35289999999999999</v>
      </c>
      <c r="Q27" s="587">
        <v>0.33550000000000002</v>
      </c>
      <c r="R27" s="587">
        <v>0.32500000000000001</v>
      </c>
      <c r="S27" s="587">
        <v>0.33189999999999997</v>
      </c>
      <c r="T27" s="587">
        <v>0.32819999999999999</v>
      </c>
      <c r="U27" s="587">
        <v>0.34379999999999999</v>
      </c>
      <c r="V27" s="587">
        <v>0.31609999999999999</v>
      </c>
    </row>
    <row r="28" spans="2:22" ht="19.5" customHeight="1" x14ac:dyDescent="0.3">
      <c r="B28" s="600"/>
      <c r="D28" s="602" t="s">
        <v>345</v>
      </c>
      <c r="E28" s="603"/>
      <c r="F28" s="604"/>
      <c r="G28" s="355">
        <f>(G25+G26+G27+G18)</f>
        <v>100.5299</v>
      </c>
      <c r="H28" s="355">
        <f t="shared" ref="H28:U28" si="4">(H25+H26+H27+H18)</f>
        <v>100.3</v>
      </c>
      <c r="I28" s="355">
        <f t="shared" si="4"/>
        <v>100.479</v>
      </c>
      <c r="J28" s="355">
        <f>(J25+J26+J27+J18)</f>
        <v>100.6828</v>
      </c>
      <c r="K28" s="355">
        <f t="shared" si="4"/>
        <v>100.6153</v>
      </c>
      <c r="L28" s="355">
        <f t="shared" si="4"/>
        <v>100.65949999999999</v>
      </c>
      <c r="M28" s="355">
        <f t="shared" si="4"/>
        <v>100.68829999999998</v>
      </c>
      <c r="N28" s="355">
        <f t="shared" si="4"/>
        <v>100.6764</v>
      </c>
      <c r="O28" s="355">
        <f t="shared" si="4"/>
        <v>100.39859999999999</v>
      </c>
      <c r="P28" s="355">
        <f t="shared" si="4"/>
        <v>100.4589</v>
      </c>
      <c r="Q28" s="355">
        <f t="shared" si="4"/>
        <v>100.4815</v>
      </c>
      <c r="R28" s="355">
        <f t="shared" si="4"/>
        <v>100.76299999999999</v>
      </c>
      <c r="S28" s="355">
        <f t="shared" si="4"/>
        <v>100.81190000000001</v>
      </c>
      <c r="T28" s="355">
        <f t="shared" si="4"/>
        <v>101.01620000000001</v>
      </c>
      <c r="U28" s="355">
        <f t="shared" si="4"/>
        <v>100.97080000000001</v>
      </c>
      <c r="V28" s="355">
        <f t="shared" ref="V28" si="5">(V25+V26+V27+V18)</f>
        <v>99.475099999999998</v>
      </c>
    </row>
    <row r="29" spans="2:22" ht="19.5" customHeight="1" x14ac:dyDescent="0.3">
      <c r="D29" s="602" t="s">
        <v>346</v>
      </c>
      <c r="E29" s="603"/>
      <c r="F29" s="604"/>
      <c r="G29" s="355">
        <f>(100-G31-G32)/(1+(G26/G25))</f>
        <v>83.974158353580975</v>
      </c>
      <c r="H29" s="355">
        <f t="shared" ref="H29:Q29" si="6">(100-H31-H32)/(1+(H26/H25))</f>
        <v>86.84459535914317</v>
      </c>
      <c r="I29" s="355">
        <f t="shared" si="6"/>
        <v>86.803463646988064</v>
      </c>
      <c r="J29" s="355">
        <f t="shared" si="6"/>
        <v>86.697797085644737</v>
      </c>
      <c r="K29" s="355">
        <f t="shared" si="6"/>
        <v>86.699467142256253</v>
      </c>
      <c r="L29" s="355">
        <f t="shared" si="6"/>
        <v>87.595408352226443</v>
      </c>
      <c r="M29" s="355">
        <f t="shared" si="6"/>
        <v>87.614460732865624</v>
      </c>
      <c r="N29" s="355">
        <f t="shared" si="6"/>
        <v>87.350420198306395</v>
      </c>
      <c r="O29" s="355">
        <f t="shared" si="6"/>
        <v>87.236900034259193</v>
      </c>
      <c r="P29" s="355">
        <f t="shared" si="6"/>
        <v>87.34954223935469</v>
      </c>
      <c r="Q29" s="355">
        <f t="shared" si="6"/>
        <v>87.158673605065914</v>
      </c>
      <c r="R29" s="355">
        <f t="shared" ref="R29:U29" si="7">(100-R31-R32)/(1+(R26/R25))</f>
        <v>87.165813328461269</v>
      </c>
      <c r="S29" s="355">
        <f t="shared" si="7"/>
        <v>87.313953614535023</v>
      </c>
      <c r="T29" s="355">
        <f t="shared" si="7"/>
        <v>87.167215251711738</v>
      </c>
      <c r="U29" s="355">
        <f t="shared" si="7"/>
        <v>87.025081977349373</v>
      </c>
      <c r="V29" s="355">
        <f t="shared" ref="V29" si="8">(100-V31-V32)/(1+(V26/V25))</f>
        <v>87.289289699352395</v>
      </c>
    </row>
    <row r="30" spans="2:22" ht="19.5" customHeight="1" x14ac:dyDescent="0.3">
      <c r="D30" s="602" t="s">
        <v>347</v>
      </c>
      <c r="E30" s="603"/>
      <c r="F30" s="604" t="s">
        <v>47</v>
      </c>
      <c r="G30" s="355">
        <f>G29*(G26/G25)</f>
        <v>9.7430342428505412</v>
      </c>
      <c r="H30" s="355">
        <f t="shared" ref="H30:O30" si="9">H29*(H26/H25)</f>
        <v>10.866800453419156</v>
      </c>
      <c r="I30" s="355">
        <f t="shared" si="9"/>
        <v>10.829262594316083</v>
      </c>
      <c r="J30" s="355">
        <f>J29*(J26/J25)</f>
        <v>10.855864512959988</v>
      </c>
      <c r="K30" s="355">
        <f t="shared" si="9"/>
        <v>10.823754475131935</v>
      </c>
      <c r="L30" s="355">
        <f t="shared" si="9"/>
        <v>11.383128199216806</v>
      </c>
      <c r="M30" s="355">
        <f t="shared" si="9"/>
        <v>11.202802047417693</v>
      </c>
      <c r="N30" s="355">
        <f t="shared" si="9"/>
        <v>11.341241402624899</v>
      </c>
      <c r="O30" s="355">
        <f t="shared" si="9"/>
        <v>11.376991992123642</v>
      </c>
      <c r="P30" s="355">
        <f>P29*(P26/P25)</f>
        <v>11.160333938863479</v>
      </c>
      <c r="Q30" s="355">
        <f>Q29*(Q26/Q25)</f>
        <v>11.284513449267475</v>
      </c>
      <c r="R30" s="355">
        <f t="shared" ref="R30:U30" si="10">R29*(R26/R25)</f>
        <v>11.240795248099586</v>
      </c>
      <c r="S30" s="355">
        <f t="shared" si="10"/>
        <v>11.146250984326798</v>
      </c>
      <c r="T30" s="355">
        <f t="shared" si="10"/>
        <v>11.152174113558393</v>
      </c>
      <c r="U30" s="355">
        <f t="shared" si="10"/>
        <v>11.288186809270121</v>
      </c>
      <c r="V30" s="355">
        <f t="shared" ref="V30" si="11">V29*(V26/V25)</f>
        <v>11.001668540448332</v>
      </c>
    </row>
    <row r="31" spans="2:22" ht="19.5" customHeight="1" x14ac:dyDescent="0.3">
      <c r="D31" s="602" t="s">
        <v>348</v>
      </c>
      <c r="E31" s="603"/>
      <c r="F31" s="604"/>
      <c r="G31" s="355">
        <f>G23*100/G28</f>
        <v>0.32836002025268102</v>
      </c>
      <c r="H31" s="355">
        <f>H23*100/H28</f>
        <v>0.26467597208374871</v>
      </c>
      <c r="I31" s="355">
        <f t="shared" ref="I31:O31" si="12">I23*100/I28</f>
        <v>0.26832771026781715</v>
      </c>
      <c r="J31" s="355">
        <f t="shared" si="12"/>
        <v>0.27317674915675766</v>
      </c>
      <c r="K31" s="355">
        <f t="shared" si="12"/>
        <v>0.27035450870792016</v>
      </c>
      <c r="L31" s="355">
        <f t="shared" si="12"/>
        <v>0.19491453861781552</v>
      </c>
      <c r="M31" s="355">
        <f t="shared" si="12"/>
        <v>0.21440226918122568</v>
      </c>
      <c r="N31" s="355">
        <f t="shared" si="12"/>
        <v>0.22566162477005536</v>
      </c>
      <c r="O31" s="355">
        <f t="shared" si="12"/>
        <v>0.2356935256069308</v>
      </c>
      <c r="P31" s="355">
        <f>P23*100/P28</f>
        <v>0.24981559622890551</v>
      </c>
      <c r="Q31" s="355">
        <f>Q23*100/Q28</f>
        <v>0.25707120216159196</v>
      </c>
      <c r="R31" s="355">
        <f t="shared" ref="R31:U31" si="13">R23*100/R28</f>
        <v>0.26552305905937695</v>
      </c>
      <c r="S31" s="355">
        <f t="shared" si="13"/>
        <v>0.27010402541763412</v>
      </c>
      <c r="T31" s="355">
        <f t="shared" si="13"/>
        <v>0.27687539226381508</v>
      </c>
      <c r="U31" s="355">
        <f t="shared" si="13"/>
        <v>0.27345133444520592</v>
      </c>
      <c r="V31" s="355">
        <f t="shared" ref="V31" si="14">V23*100/V28</f>
        <v>0.28255412661057894</v>
      </c>
    </row>
    <row r="32" spans="2:22" ht="19.5" customHeight="1" x14ac:dyDescent="0.3">
      <c r="D32" s="602" t="s">
        <v>349</v>
      </c>
      <c r="E32" s="603"/>
      <c r="F32" s="604"/>
      <c r="G32" s="355">
        <f>G18*100/G28</f>
        <v>5.9544473833158102</v>
      </c>
      <c r="H32" s="355">
        <f t="shared" ref="H32:P32" si="15">H18*100/H28</f>
        <v>2.023928215353938</v>
      </c>
      <c r="I32" s="355">
        <f t="shared" si="15"/>
        <v>2.0989460484280298</v>
      </c>
      <c r="J32" s="355">
        <f>J18*100/J28</f>
        <v>2.1731616522385155</v>
      </c>
      <c r="K32" s="355">
        <f t="shared" si="15"/>
        <v>2.2064238739038697</v>
      </c>
      <c r="L32" s="355">
        <f t="shared" si="15"/>
        <v>0.82654890993895269</v>
      </c>
      <c r="M32" s="355">
        <f t="shared" si="15"/>
        <v>0.96833495053546459</v>
      </c>
      <c r="N32" s="355">
        <f t="shared" si="15"/>
        <v>1.0826767742986441</v>
      </c>
      <c r="O32" s="355">
        <f t="shared" si="15"/>
        <v>1.1504144480102314</v>
      </c>
      <c r="P32" s="355">
        <f t="shared" si="15"/>
        <v>1.2403082255529374</v>
      </c>
      <c r="Q32" s="355">
        <f t="shared" ref="Q32:U32" si="16">Q18*100/Q28</f>
        <v>1.2997417435050234</v>
      </c>
      <c r="R32" s="355">
        <f t="shared" si="16"/>
        <v>1.3278683643797824</v>
      </c>
      <c r="S32" s="355">
        <f t="shared" si="16"/>
        <v>1.269691375720525</v>
      </c>
      <c r="T32" s="355">
        <f t="shared" si="16"/>
        <v>1.4037352424660596</v>
      </c>
      <c r="U32" s="355">
        <f t="shared" si="16"/>
        <v>1.4132798789352961</v>
      </c>
      <c r="V32" s="355">
        <f t="shared" ref="V32" si="17">V18*100/V28</f>
        <v>1.4264876335887071</v>
      </c>
    </row>
    <row r="33" spans="4:22" ht="19.5" customHeight="1" x14ac:dyDescent="0.3">
      <c r="D33" s="602" t="s">
        <v>350</v>
      </c>
      <c r="E33" s="603"/>
      <c r="F33" s="604"/>
      <c r="G33" s="355">
        <f>G30/G29</f>
        <v>0.11602419641798126</v>
      </c>
      <c r="H33" s="355">
        <f t="shared" ref="H33:P33" si="18">H30/H29</f>
        <v>0.12512926577042399</v>
      </c>
      <c r="I33" s="355">
        <f t="shared" si="18"/>
        <v>0.1247561115574429</v>
      </c>
      <c r="J33" s="355">
        <f t="shared" si="18"/>
        <v>0.12521499828001376</v>
      </c>
      <c r="K33" s="355">
        <f t="shared" si="18"/>
        <v>0.12484222604704534</v>
      </c>
      <c r="L33" s="943">
        <f t="shared" si="18"/>
        <v>0.1299511973669277</v>
      </c>
      <c r="M33" s="943">
        <f t="shared" si="18"/>
        <v>0.12786476060812343</v>
      </c>
      <c r="N33" s="943">
        <f t="shared" si="18"/>
        <v>0.12983614019116979</v>
      </c>
      <c r="O33" s="943">
        <f t="shared" si="18"/>
        <v>0.13041490456052121</v>
      </c>
      <c r="P33" s="943">
        <f t="shared" si="18"/>
        <v>0.12776637006616473</v>
      </c>
      <c r="Q33" s="943">
        <f t="shared" ref="Q33:U33" si="19">Q30/Q29</f>
        <v>0.12947091760941606</v>
      </c>
      <c r="R33" s="943">
        <f t="shared" si="19"/>
        <v>0.12895876053770791</v>
      </c>
      <c r="S33" s="943">
        <f t="shared" si="19"/>
        <v>0.12765715584858475</v>
      </c>
      <c r="T33" s="943">
        <f t="shared" si="19"/>
        <v>0.12794000681740711</v>
      </c>
      <c r="U33" s="943">
        <f t="shared" si="19"/>
        <v>0.12971187791823255</v>
      </c>
      <c r="V33" s="943">
        <f t="shared" ref="V33" si="20">V30/V29</f>
        <v>0.126036866359447</v>
      </c>
    </row>
    <row r="34" spans="4:22" ht="19.5" hidden="1" customHeight="1" x14ac:dyDescent="0.3">
      <c r="D34" s="605" t="s">
        <v>216</v>
      </c>
      <c r="E34" s="567"/>
      <c r="F34" s="568"/>
      <c r="G34" s="606">
        <f>G25*100/G28</f>
        <v>83.86559620570597</v>
      </c>
      <c r="H34" s="606">
        <f t="shared" ref="H34:P34" si="21">H25*100/H28</f>
        <v>86.769690927218349</v>
      </c>
      <c r="I34" s="606">
        <f t="shared" si="21"/>
        <v>86.714636889300252</v>
      </c>
      <c r="J34" s="606">
        <f>J25*100/J28</f>
        <v>86.618568414863319</v>
      </c>
      <c r="K34" s="606">
        <f t="shared" si="21"/>
        <v>86.617045320145138</v>
      </c>
      <c r="L34" s="606">
        <f t="shared" si="21"/>
        <v>87.532721700385963</v>
      </c>
      <c r="M34" s="606">
        <f t="shared" si="21"/>
        <v>87.537479528405996</v>
      </c>
      <c r="N34" s="606">
        <f t="shared" si="21"/>
        <v>87.289573326022776</v>
      </c>
      <c r="O34" s="606">
        <f t="shared" si="21"/>
        <v>87.142649399493635</v>
      </c>
      <c r="P34" s="606">
        <f t="shared" si="21"/>
        <v>87.25956585230378</v>
      </c>
      <c r="Q34" s="606" t="e">
        <v>#DIV/0!</v>
      </c>
      <c r="R34" s="606" t="e">
        <v>#DIV/0!</v>
      </c>
      <c r="S34" s="606" t="e">
        <v>#DIV/0!</v>
      </c>
      <c r="T34" s="606" t="e">
        <v>#DIV/0!</v>
      </c>
      <c r="U34" s="606" t="e">
        <v>#DIV/0!</v>
      </c>
      <c r="V34" s="606" t="e">
        <v>#DIV/0!</v>
      </c>
    </row>
    <row r="35" spans="4:22" ht="19.5" hidden="1" customHeight="1" x14ac:dyDescent="0.3">
      <c r="D35" s="605" t="s">
        <v>217</v>
      </c>
      <c r="E35" s="567"/>
      <c r="F35" s="568"/>
      <c r="G35" s="606">
        <f>G26*100/G28</f>
        <v>9.7304384068819338</v>
      </c>
      <c r="H35" s="606">
        <f t="shared" ref="H35:P35" si="22">H26*100/H28</f>
        <v>10.857427716849452</v>
      </c>
      <c r="I35" s="606">
        <f t="shared" si="22"/>
        <v>10.818180913424696</v>
      </c>
      <c r="J35" s="606">
        <f t="shared" si="22"/>
        <v>10.845943895084364</v>
      </c>
      <c r="K35" s="606">
        <f t="shared" si="22"/>
        <v>10.813464751384728</v>
      </c>
      <c r="L35" s="606">
        <f t="shared" si="22"/>
        <v>11.374981993751211</v>
      </c>
      <c r="M35" s="606">
        <f t="shared" si="22"/>
        <v>11.19295886413814</v>
      </c>
      <c r="N35" s="606">
        <f t="shared" si="22"/>
        <v>11.333341279584888</v>
      </c>
      <c r="O35" s="606">
        <f t="shared" si="22"/>
        <v>11.364700304585922</v>
      </c>
      <c r="P35" s="606">
        <f t="shared" si="22"/>
        <v>11.148837982498316</v>
      </c>
      <c r="Q35" s="606" t="e">
        <v>#DIV/0!</v>
      </c>
      <c r="R35" s="606" t="e">
        <v>#DIV/0!</v>
      </c>
      <c r="S35" s="606" t="e">
        <v>#DIV/0!</v>
      </c>
      <c r="T35" s="606" t="e">
        <v>#DIV/0!</v>
      </c>
      <c r="U35" s="606" t="e">
        <v>#DIV/0!</v>
      </c>
      <c r="V35" s="606" t="e">
        <v>#DIV/0!</v>
      </c>
    </row>
    <row r="36" spans="4:22" ht="19.5" hidden="1" customHeight="1" x14ac:dyDescent="0.3">
      <c r="D36" s="605" t="s">
        <v>351</v>
      </c>
      <c r="E36" s="567"/>
      <c r="F36" s="568"/>
      <c r="G36" s="606">
        <f>G27*100/G28</f>
        <v>0.44951800409629378</v>
      </c>
      <c r="H36" s="606">
        <f t="shared" ref="H36:P36" si="23">H27*100/H28</f>
        <v>0.34895314057826521</v>
      </c>
      <c r="I36" s="606">
        <f t="shared" si="23"/>
        <v>0.36823614884702277</v>
      </c>
      <c r="J36" s="606">
        <f t="shared" si="23"/>
        <v>0.36232603781380734</v>
      </c>
      <c r="K36" s="606">
        <f t="shared" si="23"/>
        <v>0.36306605456625385</v>
      </c>
      <c r="L36" s="606">
        <f t="shared" si="23"/>
        <v>0.26574739592388202</v>
      </c>
      <c r="M36" s="606">
        <f t="shared" si="23"/>
        <v>0.30122665692041684</v>
      </c>
      <c r="N36" s="606">
        <f t="shared" si="23"/>
        <v>0.29440862009368629</v>
      </c>
      <c r="O36" s="606">
        <f t="shared" si="23"/>
        <v>0.34223584791022987</v>
      </c>
      <c r="P36" s="606">
        <f t="shared" si="23"/>
        <v>0.35128793964496924</v>
      </c>
      <c r="Q36" s="606" t="e">
        <v>#DIV/0!</v>
      </c>
      <c r="R36" s="606" t="e">
        <v>#DIV/0!</v>
      </c>
      <c r="S36" s="606" t="e">
        <v>#DIV/0!</v>
      </c>
      <c r="T36" s="606" t="e">
        <v>#DIV/0!</v>
      </c>
      <c r="U36" s="606" t="e">
        <v>#DIV/0!</v>
      </c>
      <c r="V36" s="606" t="e">
        <v>#DIV/0!</v>
      </c>
    </row>
    <row r="37" spans="4:22" ht="19.5" hidden="1" customHeight="1" x14ac:dyDescent="0.3">
      <c r="D37" s="605" t="s">
        <v>352</v>
      </c>
      <c r="E37" s="567"/>
      <c r="F37" s="568"/>
      <c r="G37" s="606">
        <f>G18*100/G28</f>
        <v>5.9544473833158102</v>
      </c>
      <c r="H37" s="606">
        <f t="shared" ref="H37:P37" si="24">H18*100/H28</f>
        <v>2.023928215353938</v>
      </c>
      <c r="I37" s="606">
        <f t="shared" si="24"/>
        <v>2.0989460484280298</v>
      </c>
      <c r="J37" s="606">
        <f t="shared" si="24"/>
        <v>2.1731616522385155</v>
      </c>
      <c r="K37" s="606">
        <f t="shared" si="24"/>
        <v>2.2064238739038697</v>
      </c>
      <c r="L37" s="606">
        <f t="shared" si="24"/>
        <v>0.82654890993895269</v>
      </c>
      <c r="M37" s="606">
        <f t="shared" si="24"/>
        <v>0.96833495053546459</v>
      </c>
      <c r="N37" s="606">
        <f t="shared" si="24"/>
        <v>1.0826767742986441</v>
      </c>
      <c r="O37" s="606">
        <f t="shared" si="24"/>
        <v>1.1504144480102314</v>
      </c>
      <c r="P37" s="606">
        <f t="shared" si="24"/>
        <v>1.2403082255529374</v>
      </c>
      <c r="Q37" s="606" t="e">
        <v>#DIV/0!</v>
      </c>
      <c r="R37" s="606" t="e">
        <v>#DIV/0!</v>
      </c>
      <c r="S37" s="606" t="e">
        <v>#DIV/0!</v>
      </c>
      <c r="T37" s="606" t="e">
        <v>#DIV/0!</v>
      </c>
      <c r="U37" s="606" t="e">
        <v>#DIV/0!</v>
      </c>
      <c r="V37" s="606" t="e">
        <v>#DIV/0!</v>
      </c>
    </row>
    <row r="38" spans="4:22" ht="19.5" hidden="1" customHeight="1" x14ac:dyDescent="0.3">
      <c r="D38" s="605" t="s">
        <v>218</v>
      </c>
      <c r="E38" s="567"/>
      <c r="F38" s="568"/>
      <c r="G38" s="606">
        <f>G35/G34</f>
        <v>0.11602419641798127</v>
      </c>
      <c r="H38" s="606">
        <f t="shared" ref="H38:P38" si="25">H35/H34</f>
        <v>0.12512926577042399</v>
      </c>
      <c r="I38" s="606">
        <f t="shared" si="25"/>
        <v>0.1247561115574429</v>
      </c>
      <c r="J38" s="606">
        <f t="shared" si="25"/>
        <v>0.12521499828001376</v>
      </c>
      <c r="K38" s="606">
        <f t="shared" si="25"/>
        <v>0.12484222604704533</v>
      </c>
      <c r="L38" s="606">
        <f t="shared" si="25"/>
        <v>0.1299511973669277</v>
      </c>
      <c r="M38" s="606">
        <f t="shared" si="25"/>
        <v>0.12786476060812343</v>
      </c>
      <c r="N38" s="606">
        <f t="shared" si="25"/>
        <v>0.12983614019116979</v>
      </c>
      <c r="O38" s="606">
        <f t="shared" si="25"/>
        <v>0.13041490456052118</v>
      </c>
      <c r="P38" s="606">
        <f t="shared" si="25"/>
        <v>0.12776637006616473</v>
      </c>
      <c r="Q38" s="606" t="e">
        <v>#DIV/0!</v>
      </c>
      <c r="R38" s="606" t="e">
        <v>#DIV/0!</v>
      </c>
      <c r="S38" s="606" t="e">
        <v>#DIV/0!</v>
      </c>
      <c r="T38" s="606" t="e">
        <v>#DIV/0!</v>
      </c>
      <c r="U38" s="606" t="e">
        <v>#DIV/0!</v>
      </c>
      <c r="V38" s="606" t="e">
        <v>#DIV/0!</v>
      </c>
    </row>
    <row r="39" spans="4:22" ht="19.5" customHeight="1" x14ac:dyDescent="0.3">
      <c r="D39" s="599" t="s">
        <v>58</v>
      </c>
      <c r="E39" s="846" t="s">
        <v>59</v>
      </c>
      <c r="F39" s="843" t="s">
        <v>49</v>
      </c>
      <c r="G39" s="569"/>
      <c r="H39" s="569"/>
      <c r="I39" s="579"/>
      <c r="J39" s="579"/>
      <c r="K39" s="580"/>
      <c r="L39" s="580"/>
      <c r="M39" s="580"/>
      <c r="N39" s="580"/>
      <c r="O39" s="580"/>
      <c r="P39" s="580"/>
      <c r="Q39" s="580"/>
      <c r="R39" s="580"/>
      <c r="S39" s="580"/>
      <c r="T39" s="580"/>
      <c r="U39" s="580"/>
      <c r="V39" s="580"/>
    </row>
    <row r="40" spans="4:22" ht="19.5" customHeight="1" x14ac:dyDescent="0.3">
      <c r="D40" s="566" t="s">
        <v>60</v>
      </c>
      <c r="E40" s="847"/>
      <c r="F40" s="844"/>
      <c r="G40" s="584">
        <v>73.400000000000006</v>
      </c>
      <c r="H40" s="584">
        <v>19.41</v>
      </c>
      <c r="I40" s="586">
        <v>21.28</v>
      </c>
      <c r="J40" s="586">
        <v>21.3</v>
      </c>
      <c r="K40" s="587">
        <v>21.36</v>
      </c>
      <c r="L40" s="587">
        <v>4.5599999999999996</v>
      </c>
      <c r="M40" s="587">
        <v>4.83</v>
      </c>
      <c r="N40" s="587">
        <v>6.31</v>
      </c>
      <c r="O40" s="587">
        <v>6.74</v>
      </c>
      <c r="P40" s="587">
        <v>7.68</v>
      </c>
      <c r="Q40" s="587">
        <v>8.52</v>
      </c>
      <c r="R40" s="587">
        <v>9.16</v>
      </c>
      <c r="S40" s="587">
        <v>8.9499999999999993</v>
      </c>
      <c r="T40" s="587">
        <v>9.61</v>
      </c>
      <c r="U40" s="587">
        <v>9.66</v>
      </c>
      <c r="V40" s="587">
        <v>10.08</v>
      </c>
    </row>
    <row r="41" spans="4:22" ht="19.5" customHeight="1" x14ac:dyDescent="0.3">
      <c r="D41" s="566" t="s">
        <v>61</v>
      </c>
      <c r="E41" s="847"/>
      <c r="F41" s="844"/>
      <c r="G41" s="584">
        <v>238.34</v>
      </c>
      <c r="H41" s="584">
        <v>26.91</v>
      </c>
      <c r="I41" s="586">
        <v>31.13</v>
      </c>
      <c r="J41" s="586">
        <v>33.36</v>
      </c>
      <c r="K41" s="587">
        <v>34.380000000000003</v>
      </c>
      <c r="L41" s="587">
        <v>2.66</v>
      </c>
      <c r="M41" s="587">
        <v>0.91</v>
      </c>
      <c r="N41" s="587">
        <v>1.61</v>
      </c>
      <c r="O41" s="587">
        <v>1.76</v>
      </c>
      <c r="P41" s="587">
        <v>2.1800000000000002</v>
      </c>
      <c r="Q41" s="587">
        <v>2.52</v>
      </c>
      <c r="R41" s="587">
        <v>2.81</v>
      </c>
      <c r="S41" s="587">
        <v>2.5299999999999998</v>
      </c>
      <c r="T41" s="587">
        <v>3.14</v>
      </c>
      <c r="U41" s="587">
        <v>3.16</v>
      </c>
      <c r="V41" s="587">
        <v>3.32</v>
      </c>
    </row>
    <row r="42" spans="4:22" ht="19.5" customHeight="1" x14ac:dyDescent="0.3">
      <c r="D42" s="566" t="s">
        <v>62</v>
      </c>
      <c r="E42" s="847"/>
      <c r="F42" s="844"/>
      <c r="G42" s="584">
        <v>26.05</v>
      </c>
      <c r="H42" s="584">
        <v>33.1</v>
      </c>
      <c r="I42" s="586">
        <v>9.26</v>
      </c>
      <c r="J42" s="586">
        <v>23.58</v>
      </c>
      <c r="K42" s="587">
        <v>14.19</v>
      </c>
      <c r="L42" s="587">
        <v>20.329999999999998</v>
      </c>
      <c r="M42" s="587">
        <v>13.1</v>
      </c>
      <c r="N42" s="587">
        <v>11.97</v>
      </c>
      <c r="O42" s="587">
        <v>9.58</v>
      </c>
      <c r="P42" s="587">
        <v>17.39</v>
      </c>
      <c r="Q42" s="587">
        <v>14.03</v>
      </c>
      <c r="R42" s="587">
        <v>14.51</v>
      </c>
      <c r="S42" s="587">
        <v>11.78</v>
      </c>
      <c r="T42" s="587">
        <v>13.39</v>
      </c>
      <c r="U42" s="587">
        <v>29.24</v>
      </c>
      <c r="V42" s="587">
        <v>11.63</v>
      </c>
    </row>
    <row r="43" spans="4:22" ht="19.5" customHeight="1" x14ac:dyDescent="0.3">
      <c r="D43" s="566" t="s">
        <v>63</v>
      </c>
      <c r="E43" s="847"/>
      <c r="F43" s="844"/>
      <c r="G43" s="584">
        <v>14.22</v>
      </c>
      <c r="H43" s="608">
        <v>0</v>
      </c>
      <c r="I43" s="586">
        <v>0</v>
      </c>
      <c r="J43" s="586">
        <v>0</v>
      </c>
      <c r="K43" s="587">
        <v>0</v>
      </c>
      <c r="L43" s="587">
        <v>0</v>
      </c>
      <c r="M43" s="587">
        <v>0</v>
      </c>
      <c r="N43" s="587">
        <v>0</v>
      </c>
      <c r="O43" s="587">
        <v>1.83</v>
      </c>
      <c r="P43" s="587">
        <v>1.74</v>
      </c>
      <c r="Q43" s="587">
        <v>0</v>
      </c>
      <c r="R43" s="587">
        <v>1.2</v>
      </c>
      <c r="S43" s="587">
        <v>0.63</v>
      </c>
      <c r="T43" s="587">
        <v>0</v>
      </c>
      <c r="U43" s="587">
        <v>6.48</v>
      </c>
      <c r="V43" s="587">
        <v>0</v>
      </c>
    </row>
    <row r="44" spans="4:22" ht="19.5" customHeight="1" x14ac:dyDescent="0.3">
      <c r="D44" s="566" t="s">
        <v>64</v>
      </c>
      <c r="E44" s="848"/>
      <c r="F44" s="845"/>
      <c r="G44" s="584">
        <v>19.399999999999999</v>
      </c>
      <c r="H44" s="584">
        <v>11.02</v>
      </c>
      <c r="I44" s="586">
        <v>13.48</v>
      </c>
      <c r="J44" s="586">
        <v>7.95</v>
      </c>
      <c r="K44" s="587">
        <v>4.5</v>
      </c>
      <c r="L44" s="587">
        <v>3.03</v>
      </c>
      <c r="M44" s="587">
        <v>7.08</v>
      </c>
      <c r="N44" s="587">
        <v>2.19</v>
      </c>
      <c r="O44" s="587">
        <v>0.44</v>
      </c>
      <c r="P44" s="587">
        <v>0.87</v>
      </c>
      <c r="Q44" s="587">
        <v>0.61</v>
      </c>
      <c r="R44" s="587">
        <v>0.45</v>
      </c>
      <c r="S44" s="587">
        <v>0.45</v>
      </c>
      <c r="T44" s="587">
        <v>0.54</v>
      </c>
      <c r="U44" s="587">
        <v>1.43</v>
      </c>
      <c r="V44" s="587">
        <v>0.32</v>
      </c>
    </row>
    <row r="45" spans="4:22" ht="19.5" customHeight="1" x14ac:dyDescent="0.3">
      <c r="D45" s="639" t="s">
        <v>6</v>
      </c>
      <c r="E45" s="603"/>
      <c r="F45" s="604"/>
      <c r="G45" s="640" t="s">
        <v>28</v>
      </c>
      <c r="H45" s="641">
        <v>73.555858310626704</v>
      </c>
      <c r="I45" s="642">
        <f>100-((I40/$G$40)*100)</f>
        <v>71.008174386920984</v>
      </c>
      <c r="J45" s="642">
        <f t="shared" ref="J45:R45" si="26">100-((J40/$G$40)*100)</f>
        <v>70.980926430517712</v>
      </c>
      <c r="K45" s="641">
        <f t="shared" si="26"/>
        <v>70.89918256130791</v>
      </c>
      <c r="L45" s="641">
        <f t="shared" si="26"/>
        <v>93.787465940054503</v>
      </c>
      <c r="M45" s="641">
        <f t="shared" si="26"/>
        <v>93.419618528610357</v>
      </c>
      <c r="N45" s="641">
        <f t="shared" si="26"/>
        <v>91.403269754768388</v>
      </c>
      <c r="O45" s="641">
        <f t="shared" si="26"/>
        <v>90.817438692098094</v>
      </c>
      <c r="P45" s="641">
        <f t="shared" si="26"/>
        <v>89.536784741144416</v>
      </c>
      <c r="Q45" s="641">
        <f t="shared" si="26"/>
        <v>88.392370572207085</v>
      </c>
      <c r="R45" s="641">
        <f t="shared" si="26"/>
        <v>87.520435967302447</v>
      </c>
      <c r="S45" s="641">
        <f t="shared" ref="S45:U45" si="27">100-((S40/$G$40)*100)</f>
        <v>87.80653950953679</v>
      </c>
      <c r="T45" s="641">
        <f t="shared" si="27"/>
        <v>86.90735694822888</v>
      </c>
      <c r="U45" s="641">
        <f t="shared" si="27"/>
        <v>86.839237057220714</v>
      </c>
      <c r="V45" s="641">
        <f t="shared" ref="V45" si="28">100-((V40/$G$40)*100)</f>
        <v>86.267029972752042</v>
      </c>
    </row>
    <row r="46" spans="4:22" ht="19.5" customHeight="1" x14ac:dyDescent="0.3">
      <c r="D46" s="639" t="s">
        <v>7</v>
      </c>
      <c r="E46" s="603" t="s">
        <v>364</v>
      </c>
      <c r="F46" s="604" t="s">
        <v>66</v>
      </c>
      <c r="G46" s="640" t="s">
        <v>28</v>
      </c>
      <c r="H46" s="641">
        <v>88.709406729881678</v>
      </c>
      <c r="I46" s="642">
        <f>100-((I41/G41)*100)</f>
        <v>86.938826885961234</v>
      </c>
      <c r="J46" s="642">
        <f t="shared" ref="J46:R46" si="29">100-((J41/$G$41)*100)</f>
        <v>86.003188721993794</v>
      </c>
      <c r="K46" s="643">
        <f t="shared" si="29"/>
        <v>85.575228664932453</v>
      </c>
      <c r="L46" s="643">
        <f t="shared" si="29"/>
        <v>98.883947302173368</v>
      </c>
      <c r="M46" s="643">
        <f t="shared" si="29"/>
        <v>99.618192498111938</v>
      </c>
      <c r="N46" s="643">
        <f t="shared" si="29"/>
        <v>99.32449441973651</v>
      </c>
      <c r="O46" s="643">
        <f t="shared" si="29"/>
        <v>99.261559117227492</v>
      </c>
      <c r="P46" s="643">
        <f t="shared" si="29"/>
        <v>99.085340270202238</v>
      </c>
      <c r="Q46" s="643">
        <f t="shared" si="29"/>
        <v>98.942686917848448</v>
      </c>
      <c r="R46" s="643">
        <f t="shared" si="29"/>
        <v>98.82101199966435</v>
      </c>
      <c r="S46" s="643">
        <f t="shared" ref="S46:U46" si="30">100-((S41/$G$41)*100)</f>
        <v>98.938491231014524</v>
      </c>
      <c r="T46" s="643">
        <f t="shared" si="30"/>
        <v>98.682554334144498</v>
      </c>
      <c r="U46" s="643">
        <f t="shared" si="30"/>
        <v>98.674162960476636</v>
      </c>
      <c r="V46" s="643">
        <f t="shared" ref="V46" si="31">100-((V41/$G$41)*100)</f>
        <v>98.607031971133679</v>
      </c>
    </row>
    <row r="47" spans="4:22" ht="19.5" customHeight="1" x14ac:dyDescent="0.3">
      <c r="D47" s="639" t="s">
        <v>67</v>
      </c>
      <c r="E47" s="603"/>
      <c r="F47" s="604"/>
      <c r="G47" s="640" t="s">
        <v>28</v>
      </c>
      <c r="H47" s="641">
        <v>85.141464040546609</v>
      </c>
      <c r="I47" s="642">
        <f>100-(((I40+I41)/($G$40+$G$41))*100)</f>
        <v>83.187913004426775</v>
      </c>
      <c r="J47" s="642">
        <f t="shared" ref="J47:R47" si="32">100-(((J40+J41)/($G$40+$G$41))*100)</f>
        <v>82.466157695515491</v>
      </c>
      <c r="K47" s="643">
        <f t="shared" si="32"/>
        <v>82.119715147238082</v>
      </c>
      <c r="L47" s="643">
        <f t="shared" si="32"/>
        <v>97.683967408738056</v>
      </c>
      <c r="M47" s="643">
        <f t="shared" si="32"/>
        <v>98.158722011933023</v>
      </c>
      <c r="N47" s="643">
        <f t="shared" si="32"/>
        <v>97.459421312632315</v>
      </c>
      <c r="O47" s="643">
        <f t="shared" si="32"/>
        <v>97.273368833001854</v>
      </c>
      <c r="P47" s="643">
        <f t="shared" si="32"/>
        <v>96.837107846282152</v>
      </c>
      <c r="Q47" s="643">
        <f t="shared" si="32"/>
        <v>96.458587284275353</v>
      </c>
      <c r="R47" s="643">
        <f t="shared" si="32"/>
        <v>96.160261756592035</v>
      </c>
      <c r="S47" s="643">
        <f t="shared" ref="S47:U47" si="33">100-(((S40+S41)/($G$40+$G$41))*100)</f>
        <v>96.317444023866045</v>
      </c>
      <c r="T47" s="643">
        <f t="shared" si="33"/>
        <v>95.910053249502795</v>
      </c>
      <c r="U47" s="643">
        <f t="shared" si="33"/>
        <v>95.887598639892218</v>
      </c>
      <c r="V47" s="643">
        <f t="shared" ref="V47" si="34">100-(((V40+V41)/($G$40+$G$41))*100)</f>
        <v>95.701546160261756</v>
      </c>
    </row>
    <row r="48" spans="4:22" ht="19.5" customHeight="1" x14ac:dyDescent="0.3">
      <c r="D48" s="599" t="s">
        <v>68</v>
      </c>
      <c r="E48" s="846" t="s">
        <v>69</v>
      </c>
      <c r="F48" s="843" t="s">
        <v>70</v>
      </c>
      <c r="G48" s="569"/>
      <c r="H48" s="569"/>
      <c r="I48" s="579"/>
      <c r="J48" s="579"/>
      <c r="K48" s="580"/>
      <c r="L48" s="569"/>
      <c r="M48" s="569"/>
      <c r="N48" s="569"/>
      <c r="O48" s="569"/>
      <c r="P48" s="569"/>
      <c r="Q48" s="569"/>
      <c r="R48" s="569"/>
      <c r="S48" s="569"/>
      <c r="T48" s="569"/>
      <c r="U48" s="569"/>
      <c r="V48" s="569"/>
    </row>
    <row r="49" spans="4:22" ht="19.5" customHeight="1" x14ac:dyDescent="0.3">
      <c r="D49" s="607" t="s">
        <v>71</v>
      </c>
      <c r="E49" s="849"/>
      <c r="F49" s="844"/>
      <c r="G49" s="608">
        <v>376</v>
      </c>
      <c r="H49" s="608">
        <v>161</v>
      </c>
      <c r="I49" s="609">
        <v>162</v>
      </c>
      <c r="J49" s="609">
        <f>'MEBU HPS LTO DAILY Graph'!L17</f>
        <v>163</v>
      </c>
      <c r="K49" s="609">
        <f>'MEBU HPS LTO DAILY Graph'!M17</f>
        <v>166</v>
      </c>
      <c r="L49" s="609">
        <f>'MEBU HPS LTO DAILY Graph'!N17</f>
        <v>0</v>
      </c>
      <c r="M49" s="947">
        <f>'MEBU HPS LTO DAILY Graph'!O17</f>
        <v>94.4</v>
      </c>
      <c r="N49" s="609">
        <f>'MEBU HPS LTO DAILY Graph'!P17</f>
        <v>97.26</v>
      </c>
      <c r="O49" s="609">
        <f>'MEBU HPS LTO DAILY Graph'!Q17</f>
        <v>95.55</v>
      </c>
      <c r="P49" s="609">
        <f>'MEBU HPS LTO DAILY Graph'!R17</f>
        <v>99.9</v>
      </c>
      <c r="Q49" s="609">
        <f>'MEBU HPS LTO DAILY Graph'!S17</f>
        <v>162</v>
      </c>
      <c r="R49" s="609">
        <f>'MEBU HPS LTO DAILY Graph'!T17</f>
        <v>94.68</v>
      </c>
      <c r="S49" s="609">
        <f>'MEBU HPS LTO DAILY Graph'!U17</f>
        <v>85.31</v>
      </c>
      <c r="T49" s="609">
        <f>'MEBU HPS LTO DAILY Graph'!V17</f>
        <v>83.48</v>
      </c>
      <c r="U49" s="609">
        <f>'MEBU HPS LTO DAILY Graph'!W17</f>
        <v>83.78</v>
      </c>
      <c r="V49" s="609">
        <f>'MEBU HPS LTO DAILY Graph'!X17</f>
        <v>69</v>
      </c>
    </row>
    <row r="50" spans="4:22" ht="19.5" customHeight="1" x14ac:dyDescent="0.3">
      <c r="D50" s="607">
        <v>5</v>
      </c>
      <c r="E50" s="849"/>
      <c r="F50" s="844"/>
      <c r="G50" s="608">
        <v>510</v>
      </c>
      <c r="H50" s="608">
        <v>306</v>
      </c>
      <c r="I50" s="609">
        <v>304</v>
      </c>
      <c r="J50" s="609">
        <f>'MEBU HPS LTO DAILY Graph'!L22</f>
        <v>318</v>
      </c>
      <c r="K50" s="609">
        <f>'MEBU HPS LTO DAILY Graph'!M22</f>
        <v>318</v>
      </c>
      <c r="L50" s="609">
        <f>'MEBU HPS LTO DAILY Graph'!N22</f>
        <v>0</v>
      </c>
      <c r="M50" s="947">
        <f>'MEBU HPS LTO DAILY Graph'!O22</f>
        <v>199.54</v>
      </c>
      <c r="N50" s="609">
        <f>'MEBU HPS LTO DAILY Graph'!P22</f>
        <v>203.42</v>
      </c>
      <c r="O50" s="609">
        <f>'MEBU HPS LTO DAILY Graph'!Q22</f>
        <v>203.23</v>
      </c>
      <c r="P50" s="609">
        <f>'MEBU HPS LTO DAILY Graph'!R22</f>
        <v>207.74</v>
      </c>
      <c r="Q50" s="609">
        <f>'MEBU HPS LTO DAILY Graph'!S22</f>
        <v>229</v>
      </c>
      <c r="R50" s="609">
        <f>'MEBU HPS LTO DAILY Graph'!T22</f>
        <v>201.61</v>
      </c>
      <c r="S50" s="609">
        <f>'MEBU HPS LTO DAILY Graph'!U22</f>
        <v>195.08</v>
      </c>
      <c r="T50" s="609">
        <f>'MEBU HPS LTO DAILY Graph'!V22</f>
        <v>197.13</v>
      </c>
      <c r="U50" s="609">
        <f>'MEBU HPS LTO DAILY Graph'!W22</f>
        <v>195.45</v>
      </c>
      <c r="V50" s="609">
        <f>'MEBU HPS LTO DAILY Graph'!X22</f>
        <v>194</v>
      </c>
    </row>
    <row r="51" spans="4:22" ht="19.5" customHeight="1" x14ac:dyDescent="0.3">
      <c r="D51" s="607">
        <v>10</v>
      </c>
      <c r="E51" s="849"/>
      <c r="F51" s="844"/>
      <c r="G51" s="608">
        <v>543.5</v>
      </c>
      <c r="H51" s="608">
        <v>378</v>
      </c>
      <c r="I51" s="609">
        <v>376</v>
      </c>
      <c r="J51" s="609">
        <f>'MEBU HPS LTO DAILY Graph'!L27</f>
        <v>394</v>
      </c>
      <c r="K51" s="609">
        <f>'MEBU HPS LTO DAILY Graph'!M27</f>
        <v>392</v>
      </c>
      <c r="L51" s="609">
        <f>'MEBU HPS LTO DAILY Graph'!N27</f>
        <v>0</v>
      </c>
      <c r="M51" s="947">
        <f>'MEBU HPS LTO DAILY Graph'!O27</f>
        <v>251.34</v>
      </c>
      <c r="N51" s="609">
        <f>'MEBU HPS LTO DAILY Graph'!P27</f>
        <v>256.39</v>
      </c>
      <c r="O51" s="609">
        <f>'MEBU HPS LTO DAILY Graph'!Q27</f>
        <v>256.95999999999998</v>
      </c>
      <c r="P51" s="609">
        <f>'MEBU HPS LTO DAILY Graph'!R27</f>
        <v>260.95999999999998</v>
      </c>
      <c r="Q51" s="609">
        <f>'MEBU HPS LTO DAILY Graph'!S27</f>
        <v>277.5</v>
      </c>
      <c r="R51" s="609">
        <f>'MEBU HPS LTO DAILY Graph'!T27</f>
        <v>257.93</v>
      </c>
      <c r="S51" s="609">
        <f>'MEBU HPS LTO DAILY Graph'!U27</f>
        <v>249.77</v>
      </c>
      <c r="T51" s="609">
        <f>'MEBU HPS LTO DAILY Graph'!V27</f>
        <v>251.17</v>
      </c>
      <c r="U51" s="609">
        <f>'MEBU HPS LTO DAILY Graph'!W27</f>
        <v>249.92</v>
      </c>
      <c r="V51" s="609">
        <f>'MEBU HPS LTO DAILY Graph'!X27</f>
        <v>249</v>
      </c>
    </row>
    <row r="52" spans="4:22" ht="19.5" customHeight="1" x14ac:dyDescent="0.3">
      <c r="D52" s="607">
        <v>20</v>
      </c>
      <c r="E52" s="849"/>
      <c r="F52" s="844"/>
      <c r="G52" s="608">
        <v>578</v>
      </c>
      <c r="H52" s="608">
        <v>473</v>
      </c>
      <c r="I52" s="609">
        <v>472</v>
      </c>
      <c r="J52" s="609">
        <f>'MEBU HPS LTO DAILY Graph'!L37</f>
        <v>495</v>
      </c>
      <c r="K52" s="609">
        <f>'MEBU HPS LTO DAILY Graph'!M37</f>
        <v>491</v>
      </c>
      <c r="L52" s="609">
        <f>'MEBU HPS LTO DAILY Graph'!N37</f>
        <v>0</v>
      </c>
      <c r="M52" s="947">
        <f>'MEBU HPS LTO DAILY Graph'!O37</f>
        <v>319.83999999999997</v>
      </c>
      <c r="N52" s="609">
        <f>'MEBU HPS LTO DAILY Graph'!P37</f>
        <v>327.08999999999997</v>
      </c>
      <c r="O52" s="609">
        <f>'MEBU HPS LTO DAILY Graph'!Q37</f>
        <v>327.3</v>
      </c>
      <c r="P52" s="609">
        <f>'MEBU HPS LTO DAILY Graph'!R37</f>
        <v>330.23</v>
      </c>
      <c r="Q52" s="609">
        <f>'MEBU HPS LTO DAILY Graph'!S37</f>
        <v>343.5</v>
      </c>
      <c r="R52" s="609">
        <f>'MEBU HPS LTO DAILY Graph'!T37</f>
        <v>331.18</v>
      </c>
      <c r="S52" s="609">
        <f>'MEBU HPS LTO DAILY Graph'!U37</f>
        <v>320.35000000000002</v>
      </c>
      <c r="T52" s="609">
        <f>'MEBU HPS LTO DAILY Graph'!V37</f>
        <v>321.87</v>
      </c>
      <c r="U52" s="609">
        <f>'MEBU HPS LTO DAILY Graph'!W37</f>
        <v>319.86</v>
      </c>
      <c r="V52" s="609">
        <f>'MEBU HPS LTO DAILY Graph'!X37</f>
        <v>323</v>
      </c>
    </row>
    <row r="53" spans="4:22" ht="19.5" customHeight="1" x14ac:dyDescent="0.3">
      <c r="D53" s="607">
        <v>30</v>
      </c>
      <c r="E53" s="849"/>
      <c r="F53" s="844"/>
      <c r="G53" s="608">
        <v>606</v>
      </c>
      <c r="H53" s="608">
        <v>536</v>
      </c>
      <c r="I53" s="609">
        <v>535</v>
      </c>
      <c r="J53" s="609">
        <f>'MEBU HPS LTO DAILY Graph'!L47</f>
        <v>555</v>
      </c>
      <c r="K53" s="609">
        <f>'MEBU HPS LTO DAILY Graph'!M47</f>
        <v>551</v>
      </c>
      <c r="L53" s="609">
        <f>'MEBU HPS LTO DAILY Graph'!N47</f>
        <v>0</v>
      </c>
      <c r="M53" s="947">
        <f>'MEBU HPS LTO DAILY Graph'!O47</f>
        <v>371.15</v>
      </c>
      <c r="N53" s="609">
        <f>'MEBU HPS LTO DAILY Graph'!P47</f>
        <v>378.86</v>
      </c>
      <c r="O53" s="609">
        <f>'MEBU HPS LTO DAILY Graph'!Q47</f>
        <v>378.86</v>
      </c>
      <c r="P53" s="609">
        <f>'MEBU HPS LTO DAILY Graph'!R47</f>
        <v>382.45</v>
      </c>
      <c r="Q53" s="609">
        <f>'MEBU HPS LTO DAILY Graph'!S47</f>
        <v>395</v>
      </c>
      <c r="R53" s="609">
        <f>'MEBU HPS LTO DAILY Graph'!T47</f>
        <v>385.13</v>
      </c>
      <c r="S53" s="609">
        <f>'MEBU HPS LTO DAILY Graph'!U47</f>
        <v>372.08</v>
      </c>
      <c r="T53" s="609">
        <f>'MEBU HPS LTO DAILY Graph'!V47</f>
        <v>374.13</v>
      </c>
      <c r="U53" s="609">
        <f>'MEBU HPS LTO DAILY Graph'!W47</f>
        <v>370.94</v>
      </c>
      <c r="V53" s="609">
        <f>'MEBU HPS LTO DAILY Graph'!X47</f>
        <v>377</v>
      </c>
    </row>
    <row r="54" spans="4:22" ht="19.5" customHeight="1" x14ac:dyDescent="0.3">
      <c r="D54" s="607">
        <v>40</v>
      </c>
      <c r="E54" s="849"/>
      <c r="F54" s="844"/>
      <c r="G54" s="608">
        <v>635</v>
      </c>
      <c r="H54" s="608">
        <v>576</v>
      </c>
      <c r="I54" s="609">
        <v>575</v>
      </c>
      <c r="J54" s="609">
        <f>'MEBU HPS LTO DAILY Graph'!L57</f>
        <v>595</v>
      </c>
      <c r="K54" s="609">
        <f>'MEBU HPS LTO DAILY Graph'!M57</f>
        <v>591</v>
      </c>
      <c r="L54" s="609">
        <f>'MEBU HPS LTO DAILY Graph'!N57</f>
        <v>0</v>
      </c>
      <c r="M54" s="947">
        <f>'MEBU HPS LTO DAILY Graph'!O57</f>
        <v>416.68</v>
      </c>
      <c r="N54" s="609">
        <f>'MEBU HPS LTO DAILY Graph'!P57</f>
        <v>425.72</v>
      </c>
      <c r="O54" s="609">
        <f>'MEBU HPS LTO DAILY Graph'!Q57</f>
        <v>425.72</v>
      </c>
      <c r="P54" s="609">
        <f>'MEBU HPS LTO DAILY Graph'!R57</f>
        <v>428.4</v>
      </c>
      <c r="Q54" s="609">
        <f>'MEBU HPS LTO DAILY Graph'!S57</f>
        <v>442.5</v>
      </c>
      <c r="R54" s="609">
        <f>'MEBU HPS LTO DAILY Graph'!T57</f>
        <v>433.45</v>
      </c>
      <c r="S54" s="609">
        <f>'MEBU HPS LTO DAILY Graph'!U57</f>
        <v>417.88</v>
      </c>
      <c r="T54" s="609">
        <f>'MEBU HPS LTO DAILY Graph'!V57</f>
        <v>420.71</v>
      </c>
      <c r="U54" s="609">
        <f>'MEBU HPS LTO DAILY Graph'!W57</f>
        <v>415.96</v>
      </c>
      <c r="V54" s="609">
        <f>'MEBU HPS LTO DAILY Graph'!X57</f>
        <v>427</v>
      </c>
    </row>
    <row r="55" spans="4:22" ht="19.5" customHeight="1" x14ac:dyDescent="0.3">
      <c r="D55" s="607">
        <v>50</v>
      </c>
      <c r="E55" s="849"/>
      <c r="F55" s="844"/>
      <c r="G55" s="608">
        <v>667</v>
      </c>
      <c r="H55" s="608">
        <v>614</v>
      </c>
      <c r="I55" s="609">
        <v>612</v>
      </c>
      <c r="J55" s="609">
        <f>'MEBU HPS LTO DAILY Graph'!L67</f>
        <v>642</v>
      </c>
      <c r="K55" s="609">
        <f>'MEBU HPS LTO DAILY Graph'!M67</f>
        <v>634</v>
      </c>
      <c r="L55" s="609">
        <f>'MEBU HPS LTO DAILY Graph'!N67</f>
        <v>0</v>
      </c>
      <c r="M55" s="947">
        <f>'MEBU HPS LTO DAILY Graph'!O67</f>
        <v>462.33</v>
      </c>
      <c r="N55" s="609">
        <f>'MEBU HPS LTO DAILY Graph'!P67</f>
        <v>472.52</v>
      </c>
      <c r="O55" s="609">
        <f>'MEBU HPS LTO DAILY Graph'!Q67</f>
        <v>472.52</v>
      </c>
      <c r="P55" s="609">
        <f>'MEBU HPS LTO DAILY Graph'!R67</f>
        <v>475.03</v>
      </c>
      <c r="Q55" s="609">
        <f>'MEBU HPS LTO DAILY Graph'!S67</f>
        <v>490</v>
      </c>
      <c r="R55" s="609">
        <f>'MEBU HPS LTO DAILY Graph'!T67</f>
        <v>481.41</v>
      </c>
      <c r="S55" s="609">
        <f>'MEBU HPS LTO DAILY Graph'!U67</f>
        <v>464.03</v>
      </c>
      <c r="T55" s="609">
        <f>'MEBU HPS LTO DAILY Graph'!V67</f>
        <v>468.21</v>
      </c>
      <c r="U55" s="609">
        <f>'MEBU HPS LTO DAILY Graph'!W67</f>
        <v>461.24</v>
      </c>
      <c r="V55" s="609">
        <f>'MEBU HPS LTO DAILY Graph'!X67</f>
        <v>476</v>
      </c>
    </row>
    <row r="56" spans="4:22" ht="19.5" customHeight="1" x14ac:dyDescent="0.3">
      <c r="D56" s="607">
        <v>60</v>
      </c>
      <c r="E56" s="849"/>
      <c r="F56" s="844"/>
      <c r="G56" s="608">
        <v>705</v>
      </c>
      <c r="H56" s="608">
        <v>661</v>
      </c>
      <c r="I56" s="609">
        <v>657</v>
      </c>
      <c r="J56" s="609">
        <f>'MEBU HPS LTO DAILY Graph'!L77</f>
        <v>719</v>
      </c>
      <c r="K56" s="609">
        <f>'MEBU HPS LTO DAILY Graph'!M77</f>
        <v>698</v>
      </c>
      <c r="L56" s="609">
        <f>'MEBU HPS LTO DAILY Graph'!N77</f>
        <v>0</v>
      </c>
      <c r="M56" s="947">
        <f>'MEBU HPS LTO DAILY Graph'!O77</f>
        <v>506.8</v>
      </c>
      <c r="N56" s="609">
        <f>'MEBU HPS LTO DAILY Graph'!P77</f>
        <v>517.64</v>
      </c>
      <c r="O56" s="609">
        <f>'MEBU HPS LTO DAILY Graph'!Q77</f>
        <v>517.64</v>
      </c>
      <c r="P56" s="609">
        <f>'MEBU HPS LTO DAILY Graph'!R77</f>
        <v>519.87</v>
      </c>
      <c r="Q56" s="609">
        <f>'MEBU HPS LTO DAILY Graph'!S77</f>
        <v>534</v>
      </c>
      <c r="R56" s="609">
        <f>'MEBU HPS LTO DAILY Graph'!T77</f>
        <v>527.08000000000004</v>
      </c>
      <c r="S56" s="609">
        <f>'MEBU HPS LTO DAILY Graph'!U77</f>
        <v>509.77</v>
      </c>
      <c r="T56" s="609">
        <f>'MEBU HPS LTO DAILY Graph'!V77</f>
        <v>514.64</v>
      </c>
      <c r="U56" s="609">
        <f>'MEBU HPS LTO DAILY Graph'!W77</f>
        <v>506.44</v>
      </c>
      <c r="V56" s="609">
        <f>'MEBU HPS LTO DAILY Graph'!X77</f>
        <v>526</v>
      </c>
    </row>
    <row r="57" spans="4:22" ht="19.5" customHeight="1" x14ac:dyDescent="0.3">
      <c r="D57" s="607">
        <v>70</v>
      </c>
      <c r="E57" s="849"/>
      <c r="F57" s="844"/>
      <c r="G57" s="569"/>
      <c r="H57" s="569"/>
      <c r="I57" s="579"/>
      <c r="J57" s="579"/>
      <c r="K57" s="580"/>
      <c r="L57" s="609">
        <f>'MEBU HPS LTO DAILY Graph'!N87</f>
        <v>0</v>
      </c>
      <c r="M57" s="947">
        <f>'MEBU HPS LTO DAILY Graph'!O87</f>
        <v>549.33000000000004</v>
      </c>
      <c r="N57" s="609">
        <f>'MEBU HPS LTO DAILY Graph'!P87</f>
        <v>559.91999999999996</v>
      </c>
      <c r="O57" s="609">
        <f>'MEBU HPS LTO DAILY Graph'!Q87</f>
        <v>559.91999999999996</v>
      </c>
      <c r="P57" s="609">
        <f>'MEBU HPS LTO DAILY Graph'!R87</f>
        <v>561.54</v>
      </c>
      <c r="Q57" s="609">
        <f>'MEBU HPS LTO DAILY Graph'!S87</f>
        <v>575</v>
      </c>
      <c r="R57" s="609">
        <f>'MEBU HPS LTO DAILY Graph'!T87</f>
        <v>569.39</v>
      </c>
      <c r="S57" s="609">
        <f>'MEBU HPS LTO DAILY Graph'!U87</f>
        <v>554.34</v>
      </c>
      <c r="T57" s="609">
        <f>'MEBU HPS LTO DAILY Graph'!V87</f>
        <v>559.54</v>
      </c>
      <c r="U57" s="609">
        <f>'MEBU HPS LTO DAILY Graph'!W87</f>
        <v>550.36</v>
      </c>
      <c r="V57" s="609">
        <f>'MEBU HPS LTO DAILY Graph'!X87</f>
        <v>575</v>
      </c>
    </row>
    <row r="58" spans="4:22" ht="19.5" customHeight="1" x14ac:dyDescent="0.3">
      <c r="D58" s="607">
        <v>80</v>
      </c>
      <c r="E58" s="849"/>
      <c r="F58" s="844"/>
      <c r="G58" s="569"/>
      <c r="H58" s="569"/>
      <c r="I58" s="579"/>
      <c r="J58" s="579"/>
      <c r="K58" s="580"/>
      <c r="L58" s="569"/>
      <c r="M58" s="948">
        <f>'MEBU HPS LTO DAILY Graph'!O97</f>
        <v>592.11</v>
      </c>
      <c r="N58" s="609">
        <f>'MEBU HPS LTO DAILY Graph'!P97</f>
        <v>604.59</v>
      </c>
      <c r="O58" s="609">
        <f>'MEBU HPS LTO DAILY Graph'!Q97</f>
        <v>604.59</v>
      </c>
      <c r="P58" s="609">
        <f>'MEBU HPS LTO DAILY Graph'!R97</f>
        <v>605.76</v>
      </c>
      <c r="Q58" s="609">
        <f>'MEBU HPS LTO DAILY Graph'!S97</f>
        <v>625</v>
      </c>
      <c r="R58" s="609">
        <f>'MEBU HPS LTO DAILY Graph'!T97</f>
        <v>618.02</v>
      </c>
      <c r="S58" s="609">
        <f>'MEBU HPS LTO DAILY Graph'!U97</f>
        <v>601.44000000000005</v>
      </c>
      <c r="T58" s="609">
        <f>'MEBU HPS LTO DAILY Graph'!V97</f>
        <v>608.82000000000005</v>
      </c>
      <c r="U58" s="609">
        <f>'MEBU HPS LTO DAILY Graph'!W97</f>
        <v>595.58000000000004</v>
      </c>
      <c r="V58" s="609">
        <f>'MEBU HPS LTO DAILY Graph'!X97</f>
        <v>638</v>
      </c>
    </row>
    <row r="59" spans="4:22" ht="19.5" customHeight="1" x14ac:dyDescent="0.3">
      <c r="D59" s="607">
        <v>90</v>
      </c>
      <c r="E59" s="849"/>
      <c r="F59" s="844"/>
      <c r="G59" s="569"/>
      <c r="H59" s="569"/>
      <c r="I59" s="579"/>
      <c r="J59" s="579"/>
      <c r="K59" s="580"/>
      <c r="L59" s="569"/>
      <c r="M59" s="949">
        <f>'MEBU HPS LTO DAILY Graph'!O107</f>
        <v>655.29</v>
      </c>
      <c r="N59" s="949">
        <f>'MEBU HPS LTO DAILY Graph'!P107</f>
        <v>676.07</v>
      </c>
      <c r="O59" s="949">
        <f>'MEBU HPS LTO DAILY Graph'!Q107</f>
        <v>676.07</v>
      </c>
      <c r="P59" s="949">
        <f>'MEBU HPS LTO DAILY Graph'!R107</f>
        <v>676.07</v>
      </c>
      <c r="Q59" s="949">
        <f>'MEBU HPS LTO DAILY Graph'!S107</f>
        <v>718.5</v>
      </c>
      <c r="R59" s="949">
        <f>'MEBU HPS LTO DAILY Graph'!T107</f>
        <v>705.02</v>
      </c>
      <c r="S59" s="949">
        <f>'MEBU HPS LTO DAILY Graph'!U107</f>
        <v>679.86</v>
      </c>
      <c r="T59" s="949">
        <f>'MEBU HPS LTO DAILY Graph'!V107</f>
        <v>697.29</v>
      </c>
      <c r="U59" s="949">
        <f>'MEBU HPS LTO DAILY Graph'!W107</f>
        <v>665.07</v>
      </c>
      <c r="V59" s="949">
        <f>'MEBU HPS LTO DAILY Graph'!X107</f>
        <v>0</v>
      </c>
    </row>
    <row r="60" spans="4:22" ht="19.5" customHeight="1" x14ac:dyDescent="0.3">
      <c r="D60" s="607">
        <v>95</v>
      </c>
      <c r="E60" s="849"/>
      <c r="F60" s="844"/>
      <c r="G60" s="569"/>
      <c r="H60" s="569"/>
      <c r="I60" s="579"/>
      <c r="J60" s="579"/>
      <c r="K60" s="580"/>
      <c r="L60" s="569"/>
      <c r="M60" s="949">
        <f>'MEBU HPS LTO DAILY Graph'!O112</f>
        <v>713.39</v>
      </c>
      <c r="N60" s="949">
        <f>'MEBU HPS LTO DAILY Graph'!P112</f>
        <v>722.84</v>
      </c>
      <c r="O60" s="949">
        <f>'MEBU HPS LTO DAILY Graph'!Q112</f>
        <v>722.84</v>
      </c>
      <c r="P60" s="949">
        <f>'MEBU HPS LTO DAILY Graph'!R112</f>
        <v>722.84</v>
      </c>
      <c r="Q60" s="949">
        <f>'MEBU HPS LTO DAILY Graph'!S112</f>
        <v>0</v>
      </c>
      <c r="R60" s="949">
        <f>'MEBU HPS LTO DAILY Graph'!T112</f>
        <v>0</v>
      </c>
      <c r="S60" s="949">
        <f>'MEBU HPS LTO DAILY Graph'!U112</f>
        <v>0</v>
      </c>
      <c r="T60" s="949">
        <f>'MEBU HPS LTO DAILY Graph'!V112</f>
        <v>0</v>
      </c>
      <c r="U60" s="949">
        <f>'MEBU HPS LTO DAILY Graph'!W112</f>
        <v>715</v>
      </c>
      <c r="V60" s="949">
        <f>'MEBU HPS LTO DAILY Graph'!X112</f>
        <v>0</v>
      </c>
    </row>
    <row r="61" spans="4:22" ht="19.5" customHeight="1" thickBot="1" x14ac:dyDescent="0.35">
      <c r="D61" s="607" t="s">
        <v>72</v>
      </c>
      <c r="E61" s="613" t="s">
        <v>65</v>
      </c>
      <c r="F61" s="845"/>
      <c r="G61" s="614" t="s">
        <v>353</v>
      </c>
      <c r="H61" s="615">
        <f>SUM(H63:H68)-SUM($G$67:$G$68)</f>
        <v>21.422000000000001</v>
      </c>
      <c r="I61" s="615">
        <f t="shared" ref="I61:J61" si="35">SUM(I63:I68)-SUM($G$67:$G$68)</f>
        <v>21.725000000000005</v>
      </c>
      <c r="J61" s="615">
        <f t="shared" si="35"/>
        <v>17.669999999999998</v>
      </c>
      <c r="K61" s="615">
        <f>SUM(K63:K68)-SUM($G$67:$G$68)</f>
        <v>18.507000000000001</v>
      </c>
      <c r="L61" s="615">
        <f>SUM(L63:L68)-SUM($G$63:$G$68)</f>
        <v>47.350000000000009</v>
      </c>
      <c r="M61" s="615">
        <f>SUM(M63:M68)-SUM($G$67:$G$68)</f>
        <v>59.040000000000006</v>
      </c>
      <c r="N61" s="615">
        <f t="shared" ref="N61:R61" si="36">SUM(N63:N68)-SUM($G$67:$G$68)</f>
        <v>55.730000000000004</v>
      </c>
      <c r="O61" s="615">
        <f t="shared" si="36"/>
        <v>55.959999999999994</v>
      </c>
      <c r="P61" s="615">
        <f t="shared" si="36"/>
        <v>53.815000000000012</v>
      </c>
      <c r="Q61" s="615">
        <f t="shared" si="36"/>
        <v>52.150000000000006</v>
      </c>
      <c r="R61" s="615">
        <f t="shared" si="36"/>
        <v>53.66</v>
      </c>
      <c r="S61" s="615">
        <f t="shared" ref="S61:U61" si="37">SUM(S63:S68)-SUM($G$67:$G$68)</f>
        <v>57.269999999999996</v>
      </c>
      <c r="T61" s="615">
        <f t="shared" si="37"/>
        <v>56.050000000000011</v>
      </c>
      <c r="U61" s="615">
        <f t="shared" si="37"/>
        <v>58.180000000000007</v>
      </c>
      <c r="V61" s="615">
        <f t="shared" ref="V61" si="38">SUM(V63:V68)-SUM($G$67:$G$68)</f>
        <v>52.813000000000002</v>
      </c>
    </row>
    <row r="62" spans="4:22" ht="19.5" customHeight="1" x14ac:dyDescent="0.3">
      <c r="D62" s="616" t="s">
        <v>354</v>
      </c>
      <c r="E62" s="617"/>
      <c r="F62" s="618"/>
      <c r="G62" s="619"/>
      <c r="H62" s="619"/>
      <c r="I62" s="620"/>
      <c r="J62" s="620"/>
      <c r="K62" s="620"/>
      <c r="L62" s="620"/>
      <c r="M62" s="620"/>
      <c r="N62" s="620"/>
      <c r="O62" s="620"/>
      <c r="P62" s="620"/>
      <c r="Q62" s="620"/>
      <c r="R62" s="620"/>
      <c r="S62" s="620"/>
      <c r="T62" s="620"/>
      <c r="U62" s="620"/>
      <c r="V62" s="620"/>
    </row>
    <row r="63" spans="4:22" ht="19.5" customHeight="1" x14ac:dyDescent="0.3">
      <c r="D63" s="621" t="s">
        <v>187</v>
      </c>
      <c r="E63" s="829" t="s">
        <v>69</v>
      </c>
      <c r="F63" s="832" t="s">
        <v>47</v>
      </c>
      <c r="G63" s="622">
        <v>0</v>
      </c>
      <c r="H63" s="394">
        <v>2E-3</v>
      </c>
      <c r="I63" s="623">
        <v>8.0000000000000002E-3</v>
      </c>
      <c r="J63" s="623">
        <v>1.0999999999999999E-2</v>
      </c>
      <c r="K63" s="623">
        <v>0</v>
      </c>
      <c r="L63" s="623">
        <v>0</v>
      </c>
      <c r="M63" s="623">
        <v>0.42</v>
      </c>
      <c r="N63" s="623">
        <v>0.38</v>
      </c>
      <c r="O63" s="623">
        <v>0.4</v>
      </c>
      <c r="P63" s="623">
        <v>6.7000000000000004E-2</v>
      </c>
      <c r="Q63" s="623">
        <v>0</v>
      </c>
      <c r="R63" s="623">
        <v>0.41</v>
      </c>
      <c r="S63" s="623">
        <v>0.68</v>
      </c>
      <c r="T63" s="623">
        <v>0.79</v>
      </c>
      <c r="U63" s="623">
        <v>0.63</v>
      </c>
      <c r="V63" s="623">
        <v>1.0680000000000001</v>
      </c>
    </row>
    <row r="64" spans="4:22" ht="19.5" customHeight="1" x14ac:dyDescent="0.3">
      <c r="D64" s="621" t="s">
        <v>188</v>
      </c>
      <c r="E64" s="830"/>
      <c r="F64" s="833"/>
      <c r="G64" s="622">
        <v>0</v>
      </c>
      <c r="H64" s="394">
        <v>0.46899999999999997</v>
      </c>
      <c r="I64" s="623">
        <v>0.44600000000000001</v>
      </c>
      <c r="J64" s="623">
        <v>0.432</v>
      </c>
      <c r="K64" s="623">
        <v>0.38500000000000001</v>
      </c>
      <c r="L64" s="623">
        <v>1.4</v>
      </c>
      <c r="M64" s="623">
        <v>2.06</v>
      </c>
      <c r="N64" s="623">
        <v>1.91</v>
      </c>
      <c r="O64" s="623">
        <v>1.93</v>
      </c>
      <c r="P64" s="623">
        <v>1.7210000000000001</v>
      </c>
      <c r="Q64" s="623">
        <v>0.4</v>
      </c>
      <c r="R64" s="623">
        <v>2.0099999999999998</v>
      </c>
      <c r="S64" s="623">
        <v>2.13</v>
      </c>
      <c r="T64" s="623">
        <v>1.97</v>
      </c>
      <c r="U64" s="623">
        <v>2.15</v>
      </c>
      <c r="V64" s="623">
        <v>1.8029999999999999</v>
      </c>
    </row>
    <row r="65" spans="4:22" ht="19.5" customHeight="1" x14ac:dyDescent="0.3">
      <c r="D65" s="621" t="s">
        <v>189</v>
      </c>
      <c r="E65" s="830"/>
      <c r="F65" s="833"/>
      <c r="G65" s="622">
        <v>0</v>
      </c>
      <c r="H65" s="394">
        <v>2.1280000000000001</v>
      </c>
      <c r="I65" s="623">
        <v>2.2040000000000002</v>
      </c>
      <c r="J65" s="623">
        <v>1.9530000000000001</v>
      </c>
      <c r="K65" s="623">
        <v>1.9470000000000001</v>
      </c>
      <c r="L65" s="623">
        <v>7</v>
      </c>
      <c r="M65" s="623">
        <v>7.37</v>
      </c>
      <c r="N65" s="623">
        <v>6.96</v>
      </c>
      <c r="O65" s="623">
        <v>6.87</v>
      </c>
      <c r="P65" s="623">
        <v>7.2619999999999996</v>
      </c>
      <c r="Q65" s="623">
        <v>6.5</v>
      </c>
      <c r="R65" s="623">
        <v>6.73</v>
      </c>
      <c r="S65" s="623">
        <v>7.22</v>
      </c>
      <c r="T65" s="623">
        <v>7.11</v>
      </c>
      <c r="U65" s="623">
        <v>7.22</v>
      </c>
      <c r="V65" s="623">
        <v>7.2649999999999997</v>
      </c>
    </row>
    <row r="66" spans="4:22" ht="19.5" customHeight="1" x14ac:dyDescent="0.3">
      <c r="D66" s="621" t="s">
        <v>190</v>
      </c>
      <c r="E66" s="830"/>
      <c r="F66" s="833"/>
      <c r="G66" s="622">
        <v>0</v>
      </c>
      <c r="H66" s="394">
        <v>5.9370000000000003</v>
      </c>
      <c r="I66" s="623">
        <v>6.0350000000000001</v>
      </c>
      <c r="J66" s="623">
        <v>5.2229999999999999</v>
      </c>
      <c r="K66" s="623">
        <v>5.3609999999999998</v>
      </c>
      <c r="L66" s="623">
        <v>15.7</v>
      </c>
      <c r="M66" s="623">
        <v>17.8</v>
      </c>
      <c r="N66" s="623">
        <v>16.87</v>
      </c>
      <c r="O66" s="623">
        <v>16.899999999999999</v>
      </c>
      <c r="P66" s="623">
        <v>16.489000000000001</v>
      </c>
      <c r="Q66" s="623">
        <v>16.100000000000001</v>
      </c>
      <c r="R66" s="623">
        <v>15.94</v>
      </c>
      <c r="S66" s="623">
        <v>17.440000000000001</v>
      </c>
      <c r="T66" s="623">
        <v>17.21</v>
      </c>
      <c r="U66" s="623">
        <v>17.649999999999999</v>
      </c>
      <c r="V66" s="623">
        <v>16.48</v>
      </c>
    </row>
    <row r="67" spans="4:22" ht="19.5" customHeight="1" x14ac:dyDescent="0.3">
      <c r="D67" s="621" t="s">
        <v>191</v>
      </c>
      <c r="E67" s="830"/>
      <c r="F67" s="833"/>
      <c r="G67" s="622">
        <v>4.17</v>
      </c>
      <c r="H67" s="394">
        <v>15.13</v>
      </c>
      <c r="I67" s="623">
        <v>15.12</v>
      </c>
      <c r="J67" s="623">
        <v>13.433999999999999</v>
      </c>
      <c r="K67" s="623">
        <v>13.824999999999999</v>
      </c>
      <c r="L67" s="623">
        <v>25.8</v>
      </c>
      <c r="M67" s="623">
        <v>30.78</v>
      </c>
      <c r="N67" s="623">
        <v>29.69</v>
      </c>
      <c r="O67" s="623">
        <v>29.89</v>
      </c>
      <c r="P67" s="623">
        <v>29.027000000000001</v>
      </c>
      <c r="Q67" s="623">
        <v>29.2</v>
      </c>
      <c r="R67" s="623">
        <v>28.88</v>
      </c>
      <c r="S67" s="623">
        <v>30.36</v>
      </c>
      <c r="T67" s="623">
        <v>29.71</v>
      </c>
      <c r="U67" s="623">
        <v>30.88</v>
      </c>
      <c r="V67" s="623">
        <v>28.138000000000002</v>
      </c>
    </row>
    <row r="68" spans="4:22" ht="19.5" customHeight="1" x14ac:dyDescent="0.3">
      <c r="D68" s="621" t="s">
        <v>133</v>
      </c>
      <c r="E68" s="830"/>
      <c r="F68" s="833"/>
      <c r="G68" s="622">
        <f>14.05-G67</f>
        <v>9.8800000000000008</v>
      </c>
      <c r="H68" s="394">
        <v>11.805999999999999</v>
      </c>
      <c r="I68" s="623">
        <v>11.962</v>
      </c>
      <c r="J68" s="623">
        <v>10.667</v>
      </c>
      <c r="K68" s="623">
        <v>11.039</v>
      </c>
      <c r="L68" s="623">
        <v>11.5</v>
      </c>
      <c r="M68" s="623">
        <v>14.66</v>
      </c>
      <c r="N68" s="623">
        <v>13.97</v>
      </c>
      <c r="O68" s="623">
        <v>14.02</v>
      </c>
      <c r="P68" s="623">
        <v>13.298999999999999</v>
      </c>
      <c r="Q68" s="623">
        <v>14</v>
      </c>
      <c r="R68" s="623">
        <v>13.74</v>
      </c>
      <c r="S68" s="623">
        <v>13.49</v>
      </c>
      <c r="T68" s="623">
        <v>13.31</v>
      </c>
      <c r="U68" s="623">
        <v>13.7</v>
      </c>
      <c r="V68" s="623">
        <v>12.109</v>
      </c>
    </row>
    <row r="69" spans="4:22" ht="19.5" customHeight="1" x14ac:dyDescent="0.3">
      <c r="D69" s="621" t="s">
        <v>355</v>
      </c>
      <c r="E69" s="831"/>
      <c r="F69" s="834"/>
      <c r="G69" s="622">
        <f>100-SUM(G63:G68)</f>
        <v>85.95</v>
      </c>
      <c r="H69" s="394">
        <f>100-SUM(H63:H68)</f>
        <v>64.527999999999992</v>
      </c>
      <c r="I69" s="623">
        <f t="shared" ref="I69:R69" si="39">100-SUM(I63:I68)</f>
        <v>64.224999999999994</v>
      </c>
      <c r="J69" s="623">
        <f t="shared" si="39"/>
        <v>68.28</v>
      </c>
      <c r="K69" s="623">
        <f t="shared" si="39"/>
        <v>67.442999999999998</v>
      </c>
      <c r="L69" s="623">
        <f t="shared" si="39"/>
        <v>38.599999999999994</v>
      </c>
      <c r="M69" s="623">
        <f t="shared" si="39"/>
        <v>26.909999999999997</v>
      </c>
      <c r="N69" s="623">
        <f t="shared" si="39"/>
        <v>30.22</v>
      </c>
      <c r="O69" s="623">
        <f t="shared" si="39"/>
        <v>29.990000000000009</v>
      </c>
      <c r="P69" s="623">
        <f t="shared" si="39"/>
        <v>32.134999999999991</v>
      </c>
      <c r="Q69" s="623">
        <f t="shared" si="39"/>
        <v>33.799999999999997</v>
      </c>
      <c r="R69" s="623">
        <f t="shared" si="39"/>
        <v>32.290000000000006</v>
      </c>
      <c r="S69" s="623">
        <f t="shared" ref="S69:U69" si="40">100-SUM(S63:S68)</f>
        <v>28.680000000000007</v>
      </c>
      <c r="T69" s="623">
        <f t="shared" si="40"/>
        <v>29.899999999999991</v>
      </c>
      <c r="U69" s="623">
        <f t="shared" si="40"/>
        <v>27.769999999999996</v>
      </c>
      <c r="V69" s="623">
        <f t="shared" ref="V69" si="41">100-SUM(V63:V68)</f>
        <v>33.137</v>
      </c>
    </row>
    <row r="70" spans="4:22" ht="19.5" customHeight="1" thickBot="1" x14ac:dyDescent="0.35">
      <c r="D70" s="624" t="s">
        <v>356</v>
      </c>
      <c r="E70" s="617"/>
      <c r="F70" s="618"/>
      <c r="G70" s="625">
        <f>SUM(G63:G69)</f>
        <v>100</v>
      </c>
      <c r="H70" s="625">
        <f t="shared" ref="H70:P70" si="42">SUM(H63:H69)</f>
        <v>100</v>
      </c>
      <c r="I70" s="625">
        <f t="shared" si="42"/>
        <v>100</v>
      </c>
      <c r="J70" s="625">
        <f t="shared" si="42"/>
        <v>100</v>
      </c>
      <c r="K70" s="625">
        <f t="shared" si="42"/>
        <v>100</v>
      </c>
      <c r="L70" s="625">
        <f t="shared" si="42"/>
        <v>100</v>
      </c>
      <c r="M70" s="625">
        <f t="shared" si="42"/>
        <v>100</v>
      </c>
      <c r="N70" s="625">
        <f t="shared" si="42"/>
        <v>100</v>
      </c>
      <c r="O70" s="625">
        <f t="shared" si="42"/>
        <v>100</v>
      </c>
      <c r="P70" s="625">
        <f t="shared" si="42"/>
        <v>100</v>
      </c>
      <c r="Q70" s="625">
        <v>100</v>
      </c>
      <c r="R70" s="625">
        <v>100</v>
      </c>
      <c r="S70" s="625">
        <v>100</v>
      </c>
      <c r="T70" s="625">
        <v>100</v>
      </c>
      <c r="U70" s="625">
        <v>100</v>
      </c>
      <c r="V70" s="625">
        <v>100</v>
      </c>
    </row>
    <row r="71" spans="4:22" ht="18.75" customHeight="1" x14ac:dyDescent="0.3">
      <c r="D71" s="599" t="s">
        <v>73</v>
      </c>
      <c r="E71" s="835" t="s">
        <v>74</v>
      </c>
      <c r="F71" s="836" t="s">
        <v>66</v>
      </c>
      <c r="G71" s="569"/>
      <c r="H71" s="569"/>
      <c r="I71" s="579"/>
      <c r="J71" s="579"/>
      <c r="K71" s="580"/>
      <c r="L71" s="580"/>
      <c r="M71" s="580"/>
      <c r="N71" s="580"/>
      <c r="O71" s="580"/>
      <c r="P71" s="580"/>
      <c r="Q71" s="580"/>
      <c r="R71" s="580"/>
      <c r="S71" s="580"/>
      <c r="T71" s="580"/>
      <c r="U71" s="580"/>
      <c r="V71" s="580"/>
    </row>
    <row r="72" spans="4:22" ht="18.75" customHeight="1" x14ac:dyDescent="0.3">
      <c r="D72" s="566" t="s">
        <v>75</v>
      </c>
      <c r="E72" s="835"/>
      <c r="F72" s="836"/>
      <c r="G72" s="584">
        <v>2.2999999999999998</v>
      </c>
      <c r="H72" s="584">
        <v>9.6</v>
      </c>
      <c r="I72" s="611">
        <v>8.9</v>
      </c>
      <c r="J72" s="611">
        <v>8.8000000000000007</v>
      </c>
      <c r="K72" s="612">
        <v>8.4</v>
      </c>
      <c r="L72" s="612">
        <v>18.8</v>
      </c>
      <c r="M72" s="612">
        <v>18.399999999999999</v>
      </c>
      <c r="N72" s="612">
        <v>19.399999999999999</v>
      </c>
      <c r="O72" s="612">
        <v>17.399999999999999</v>
      </c>
      <c r="P72" s="612">
        <v>15.7</v>
      </c>
      <c r="Q72" s="612">
        <v>13.8</v>
      </c>
      <c r="R72" s="612">
        <v>13.5</v>
      </c>
      <c r="S72" s="612">
        <v>14.6</v>
      </c>
      <c r="T72" s="612">
        <v>15.5</v>
      </c>
      <c r="U72" s="612">
        <v>14.7</v>
      </c>
      <c r="V72" s="612">
        <v>14.6</v>
      </c>
    </row>
    <row r="73" spans="4:22" ht="18.75" customHeight="1" x14ac:dyDescent="0.3">
      <c r="D73" s="566" t="s">
        <v>76</v>
      </c>
      <c r="E73" s="835"/>
      <c r="F73" s="836"/>
      <c r="G73" s="584">
        <v>41.8</v>
      </c>
      <c r="H73" s="584">
        <v>60.6</v>
      </c>
      <c r="I73" s="611">
        <v>69.2</v>
      </c>
      <c r="J73" s="611">
        <v>63.8</v>
      </c>
      <c r="K73" s="612">
        <v>66.900000000000006</v>
      </c>
      <c r="L73" s="612">
        <v>76.599999999999994</v>
      </c>
      <c r="M73" s="612">
        <v>72.3</v>
      </c>
      <c r="N73" s="612">
        <v>68.400000000000006</v>
      </c>
      <c r="O73" s="612">
        <v>68.2</v>
      </c>
      <c r="P73" s="612">
        <v>66.599999999999994</v>
      </c>
      <c r="Q73" s="612">
        <v>68.7</v>
      </c>
      <c r="R73" s="612">
        <v>69.7</v>
      </c>
      <c r="S73" s="612">
        <v>72.7</v>
      </c>
      <c r="T73" s="612">
        <v>68.900000000000006</v>
      </c>
      <c r="U73" s="612">
        <v>72.8</v>
      </c>
      <c r="V73" s="612">
        <v>66.099999999999994</v>
      </c>
    </row>
    <row r="74" spans="4:22" ht="18.75" customHeight="1" x14ac:dyDescent="0.3">
      <c r="D74" s="566" t="s">
        <v>77</v>
      </c>
      <c r="E74" s="835"/>
      <c r="F74" s="836"/>
      <c r="G74" s="584">
        <v>24.4</v>
      </c>
      <c r="H74" s="584">
        <v>18.399999999999999</v>
      </c>
      <c r="I74" s="609">
        <v>9</v>
      </c>
      <c r="J74" s="611">
        <v>11.6</v>
      </c>
      <c r="K74" s="610">
        <v>11</v>
      </c>
      <c r="L74" s="610">
        <v>0</v>
      </c>
      <c r="M74" s="610">
        <v>4.7</v>
      </c>
      <c r="N74" s="610">
        <v>5.6</v>
      </c>
      <c r="O74" s="610">
        <v>7.5</v>
      </c>
      <c r="P74" s="610">
        <v>7.4</v>
      </c>
      <c r="Q74" s="610">
        <v>9.1999999999999993</v>
      </c>
      <c r="R74" s="610">
        <v>8.6999999999999993</v>
      </c>
      <c r="S74" s="610">
        <v>5.9</v>
      </c>
      <c r="T74" s="610">
        <v>7.7</v>
      </c>
      <c r="U74" s="610">
        <v>5.6</v>
      </c>
      <c r="V74" s="610">
        <v>10.8</v>
      </c>
    </row>
    <row r="75" spans="4:22" ht="18.75" customHeight="1" x14ac:dyDescent="0.3">
      <c r="D75" s="566" t="s">
        <v>78</v>
      </c>
      <c r="E75" s="835"/>
      <c r="F75" s="836"/>
      <c r="G75" s="584">
        <v>31.6</v>
      </c>
      <c r="H75" s="584">
        <v>11.4</v>
      </c>
      <c r="I75" s="611">
        <v>12.9</v>
      </c>
      <c r="J75" s="611">
        <v>15.8</v>
      </c>
      <c r="K75" s="612">
        <v>13.7</v>
      </c>
      <c r="L75" s="612">
        <v>4.7</v>
      </c>
      <c r="M75" s="612">
        <v>4.5999999999999996</v>
      </c>
      <c r="N75" s="612">
        <v>6.7</v>
      </c>
      <c r="O75" s="612">
        <v>7</v>
      </c>
      <c r="P75" s="612">
        <v>10.3</v>
      </c>
      <c r="Q75" s="612">
        <v>8.3000000000000007</v>
      </c>
      <c r="R75" s="612">
        <v>8.1</v>
      </c>
      <c r="S75" s="612">
        <v>6.8</v>
      </c>
      <c r="T75" s="612">
        <v>7.7</v>
      </c>
      <c r="U75" s="612">
        <v>7</v>
      </c>
      <c r="V75" s="612">
        <v>8.4</v>
      </c>
    </row>
    <row r="76" spans="4:22" ht="18.75" customHeight="1" x14ac:dyDescent="0.3">
      <c r="D76" s="599" t="s">
        <v>79</v>
      </c>
      <c r="E76" s="837" t="s">
        <v>80</v>
      </c>
      <c r="F76" s="840" t="s">
        <v>28</v>
      </c>
      <c r="G76" s="569"/>
      <c r="H76" s="569"/>
      <c r="I76" s="579"/>
      <c r="J76" s="579"/>
      <c r="K76" s="580"/>
      <c r="L76" s="580"/>
      <c r="M76" s="580"/>
      <c r="N76" s="580"/>
      <c r="O76" s="580"/>
      <c r="P76" s="580"/>
      <c r="Q76" s="580"/>
      <c r="R76" s="580"/>
      <c r="S76" s="580"/>
      <c r="T76" s="580"/>
      <c r="U76" s="580"/>
      <c r="V76" s="580"/>
    </row>
    <row r="77" spans="4:22" ht="18.75" customHeight="1" x14ac:dyDescent="0.3">
      <c r="D77" s="566" t="s">
        <v>81</v>
      </c>
      <c r="E77" s="838"/>
      <c r="F77" s="841"/>
      <c r="G77" s="584">
        <v>0.59040000000000004</v>
      </c>
      <c r="H77" s="569"/>
      <c r="I77" s="579"/>
      <c r="J77" s="579"/>
      <c r="K77" s="580"/>
      <c r="L77" s="580"/>
      <c r="M77" s="580"/>
      <c r="N77" s="580"/>
      <c r="O77" s="580"/>
      <c r="P77" s="580"/>
      <c r="Q77" s="580"/>
      <c r="R77" s="580"/>
      <c r="S77" s="580"/>
      <c r="T77" s="580"/>
      <c r="U77" s="580"/>
      <c r="V77" s="580"/>
    </row>
    <row r="78" spans="4:22" ht="18.75" customHeight="1" x14ac:dyDescent="0.3">
      <c r="D78" s="566" t="s">
        <v>82</v>
      </c>
      <c r="E78" s="838"/>
      <c r="F78" s="841"/>
      <c r="G78" s="584">
        <v>1.5</v>
      </c>
      <c r="H78" s="569"/>
      <c r="I78" s="579"/>
      <c r="J78" s="579"/>
      <c r="K78" s="580"/>
      <c r="L78" s="580"/>
      <c r="M78" s="580"/>
      <c r="N78" s="580"/>
      <c r="O78" s="580"/>
      <c r="P78" s="580"/>
      <c r="Q78" s="580"/>
      <c r="R78" s="580"/>
      <c r="S78" s="580"/>
      <c r="T78" s="580"/>
      <c r="U78" s="580"/>
      <c r="V78" s="580"/>
    </row>
    <row r="79" spans="4:22" ht="18.75" customHeight="1" x14ac:dyDescent="0.3">
      <c r="D79" s="566" t="s">
        <v>83</v>
      </c>
      <c r="E79" s="838"/>
      <c r="F79" s="841"/>
      <c r="G79" s="584">
        <v>3.6623999999999999</v>
      </c>
      <c r="H79" s="569"/>
      <c r="I79" s="579"/>
      <c r="J79" s="579"/>
      <c r="K79" s="580"/>
      <c r="L79" s="580"/>
      <c r="M79" s="580"/>
      <c r="N79" s="580"/>
      <c r="O79" s="580"/>
      <c r="P79" s="580"/>
      <c r="Q79" s="580"/>
      <c r="R79" s="580"/>
      <c r="S79" s="580"/>
      <c r="T79" s="580"/>
      <c r="U79" s="580"/>
      <c r="V79" s="580"/>
    </row>
    <row r="80" spans="4:22" ht="18.75" customHeight="1" x14ac:dyDescent="0.3">
      <c r="D80" s="566" t="s">
        <v>84</v>
      </c>
      <c r="E80" s="838"/>
      <c r="F80" s="841"/>
      <c r="G80" s="584">
        <v>0.40960000000000002</v>
      </c>
      <c r="H80" s="569"/>
      <c r="I80" s="579"/>
      <c r="J80" s="579"/>
      <c r="K80" s="580"/>
      <c r="L80" s="580"/>
      <c r="M80" s="580"/>
      <c r="N80" s="580"/>
      <c r="O80" s="580"/>
      <c r="P80" s="580"/>
      <c r="Q80" s="580"/>
      <c r="R80" s="580"/>
      <c r="S80" s="580"/>
      <c r="T80" s="580"/>
      <c r="U80" s="580"/>
      <c r="V80" s="580"/>
    </row>
    <row r="81" spans="4:22" ht="18.75" customHeight="1" x14ac:dyDescent="0.3">
      <c r="D81" s="566" t="s">
        <v>85</v>
      </c>
      <c r="E81" s="838"/>
      <c r="F81" s="841"/>
      <c r="G81" s="601">
        <v>149.57</v>
      </c>
      <c r="H81" s="569"/>
      <c r="I81" s="579"/>
      <c r="J81" s="579"/>
      <c r="K81" s="580"/>
      <c r="L81" s="580"/>
      <c r="M81" s="580"/>
      <c r="N81" s="580"/>
      <c r="O81" s="580"/>
      <c r="P81" s="580"/>
      <c r="Q81" s="580"/>
      <c r="R81" s="580"/>
      <c r="S81" s="580"/>
      <c r="T81" s="580"/>
      <c r="U81" s="580"/>
      <c r="V81" s="580"/>
    </row>
    <row r="82" spans="4:22" ht="18.75" customHeight="1" x14ac:dyDescent="0.3">
      <c r="D82" s="566" t="s">
        <v>86</v>
      </c>
      <c r="E82" s="839"/>
      <c r="F82" s="842"/>
      <c r="G82" s="601">
        <v>105.1005</v>
      </c>
      <c r="H82" s="569"/>
      <c r="I82" s="579"/>
      <c r="J82" s="579"/>
      <c r="K82" s="580"/>
      <c r="L82" s="580"/>
      <c r="M82" s="580"/>
      <c r="N82" s="580"/>
      <c r="O82" s="580"/>
      <c r="P82" s="580"/>
      <c r="Q82" s="580"/>
      <c r="R82" s="580"/>
      <c r="S82" s="580"/>
      <c r="T82" s="580"/>
      <c r="U82" s="580"/>
      <c r="V82" s="580"/>
    </row>
    <row r="83" spans="4:22" ht="19.5" customHeight="1" x14ac:dyDescent="0.3">
      <c r="D83" s="566" t="s">
        <v>87</v>
      </c>
      <c r="E83" s="582" t="s">
        <v>88</v>
      </c>
      <c r="F83" s="626" t="s">
        <v>47</v>
      </c>
      <c r="G83" s="584">
        <v>21.02</v>
      </c>
      <c r="H83" s="608">
        <v>9</v>
      </c>
      <c r="I83" s="611">
        <v>10.199999999999999</v>
      </c>
      <c r="J83" s="611">
        <v>10.3</v>
      </c>
      <c r="K83" s="612">
        <v>9.6999999999999993</v>
      </c>
      <c r="L83" s="612">
        <v>3.9</v>
      </c>
      <c r="M83" s="612">
        <v>4.7</v>
      </c>
      <c r="N83" s="612">
        <v>5.3</v>
      </c>
      <c r="O83" s="612">
        <v>5.6</v>
      </c>
      <c r="P83" s="612">
        <v>5.6</v>
      </c>
      <c r="Q83" s="612">
        <v>6.1</v>
      </c>
      <c r="R83" s="612">
        <v>6.4</v>
      </c>
      <c r="S83" s="612">
        <v>6.2</v>
      </c>
      <c r="T83" s="612">
        <v>6.9</v>
      </c>
      <c r="U83" s="612">
        <v>6.5</v>
      </c>
      <c r="V83" s="612">
        <v>6.9</v>
      </c>
    </row>
    <row r="84" spans="4:22" ht="19.5" customHeight="1" x14ac:dyDescent="0.3">
      <c r="D84" s="566" t="s">
        <v>89</v>
      </c>
      <c r="E84" s="582" t="s">
        <v>90</v>
      </c>
      <c r="F84" s="626" t="s">
        <v>47</v>
      </c>
      <c r="G84" s="584">
        <v>12.86</v>
      </c>
      <c r="H84" s="608">
        <v>4</v>
      </c>
      <c r="I84" s="609">
        <v>4.3</v>
      </c>
      <c r="J84" s="609">
        <v>5.0999999999999996</v>
      </c>
      <c r="K84" s="610">
        <v>4.7</v>
      </c>
      <c r="L84" s="610">
        <v>1.1000000000000001</v>
      </c>
      <c r="M84" s="610">
        <v>1.6</v>
      </c>
      <c r="N84" s="610">
        <v>1.5</v>
      </c>
      <c r="O84" s="610">
        <v>1.8</v>
      </c>
      <c r="P84" s="610">
        <v>2.1</v>
      </c>
      <c r="Q84" s="610">
        <v>2.2999999999999998</v>
      </c>
      <c r="R84" s="610">
        <v>2.7</v>
      </c>
      <c r="S84" s="610">
        <v>2.4</v>
      </c>
      <c r="T84" s="610">
        <v>2.6</v>
      </c>
      <c r="U84" s="610">
        <v>2.4</v>
      </c>
      <c r="V84" s="610">
        <v>2.5</v>
      </c>
    </row>
    <row r="85" spans="4:22" ht="19.5" customHeight="1" x14ac:dyDescent="0.3">
      <c r="D85" s="566" t="s">
        <v>91</v>
      </c>
      <c r="E85" s="644" t="s">
        <v>92</v>
      </c>
      <c r="F85" s="583" t="s">
        <v>47</v>
      </c>
      <c r="G85" s="584">
        <v>26.05</v>
      </c>
      <c r="H85" s="601">
        <v>13.72</v>
      </c>
      <c r="I85" s="586">
        <v>14.36</v>
      </c>
      <c r="J85" s="586">
        <v>14.5</v>
      </c>
      <c r="K85" s="587">
        <v>14.51</v>
      </c>
      <c r="L85" s="587">
        <v>7.1074999999999999</v>
      </c>
      <c r="M85" s="587">
        <v>7.51</v>
      </c>
      <c r="N85" s="587">
        <v>8.2274499999999993</v>
      </c>
      <c r="O85" s="587">
        <v>8.8035999999999994</v>
      </c>
      <c r="P85" s="587">
        <v>9.2672000000000008</v>
      </c>
      <c r="Q85" s="587">
        <v>9.29115</v>
      </c>
      <c r="R85" s="587">
        <v>9.2227999999999994</v>
      </c>
      <c r="S85" s="587">
        <v>9.14</v>
      </c>
      <c r="T85" s="587">
        <v>9.6180000000000003</v>
      </c>
      <c r="U85" s="587">
        <v>9.3308</v>
      </c>
      <c r="V85" s="587">
        <v>9.68</v>
      </c>
    </row>
    <row r="86" spans="4:22" ht="19.5" customHeight="1" thickBot="1" x14ac:dyDescent="0.35">
      <c r="D86" s="645" t="s">
        <v>93</v>
      </c>
      <c r="E86" s="646" t="s">
        <v>94</v>
      </c>
      <c r="F86" s="647" t="s">
        <v>47</v>
      </c>
      <c r="G86" s="648"/>
      <c r="H86" s="649">
        <v>0.02</v>
      </c>
      <c r="I86" s="650">
        <v>0.12</v>
      </c>
      <c r="J86" s="650">
        <v>0.22</v>
      </c>
      <c r="K86" s="651">
        <v>0.13</v>
      </c>
      <c r="L86" s="651">
        <v>0.02</v>
      </c>
      <c r="M86" s="651">
        <v>0.06</v>
      </c>
      <c r="N86" s="651">
        <v>0.05</v>
      </c>
      <c r="O86" s="651">
        <v>0.03</v>
      </c>
      <c r="P86" s="651">
        <v>0.04</v>
      </c>
      <c r="Q86" s="651">
        <v>0.06</v>
      </c>
      <c r="R86" s="782">
        <v>0.02</v>
      </c>
      <c r="S86" s="651">
        <v>0.05</v>
      </c>
      <c r="T86" s="651">
        <v>0.21</v>
      </c>
      <c r="U86" s="651">
        <v>3.1E-2</v>
      </c>
      <c r="V86" s="651">
        <v>6.9000000000000006E-2</v>
      </c>
    </row>
    <row r="87" spans="4:22" ht="18" thickBot="1" x14ac:dyDescent="0.35">
      <c r="V87" s="538"/>
    </row>
    <row r="88" spans="4:22" ht="18" thickBot="1" x14ac:dyDescent="0.35">
      <c r="D88" s="541" t="s">
        <v>22</v>
      </c>
      <c r="E88" s="542" t="s">
        <v>23</v>
      </c>
      <c r="F88" s="542" t="s">
        <v>24</v>
      </c>
      <c r="G88" s="542" t="s">
        <v>4</v>
      </c>
      <c r="H88" s="542" t="s">
        <v>4</v>
      </c>
      <c r="I88" s="542" t="s">
        <v>4</v>
      </c>
      <c r="J88" s="542" t="s">
        <v>4</v>
      </c>
      <c r="K88" s="542" t="s">
        <v>4</v>
      </c>
      <c r="L88" s="542" t="s">
        <v>4</v>
      </c>
      <c r="M88" s="542" t="s">
        <v>4</v>
      </c>
      <c r="N88" s="542" t="s">
        <v>4</v>
      </c>
      <c r="O88" s="542" t="s">
        <v>4</v>
      </c>
      <c r="P88" s="542" t="s">
        <v>4</v>
      </c>
      <c r="Q88" s="542" t="s">
        <v>4</v>
      </c>
      <c r="R88" s="542" t="s">
        <v>4</v>
      </c>
      <c r="S88" s="542" t="s">
        <v>4</v>
      </c>
      <c r="T88" s="542" t="s">
        <v>4</v>
      </c>
      <c r="U88" s="542" t="s">
        <v>4</v>
      </c>
      <c r="V88" s="542" t="s">
        <v>4</v>
      </c>
    </row>
    <row r="89" spans="4:22" s="538" customFormat="1" x14ac:dyDescent="0.3">
      <c r="D89" s="545" t="s">
        <v>56</v>
      </c>
      <c r="E89" s="823" t="s">
        <v>95</v>
      </c>
      <c r="F89" s="826" t="s">
        <v>365</v>
      </c>
      <c r="G89" s="652">
        <v>0</v>
      </c>
      <c r="H89" s="652">
        <v>0</v>
      </c>
      <c r="I89" s="652">
        <v>0</v>
      </c>
      <c r="J89" s="652">
        <v>0</v>
      </c>
      <c r="K89" s="652">
        <v>0</v>
      </c>
      <c r="L89" s="652">
        <v>3.5</v>
      </c>
      <c r="M89" s="652">
        <v>13</v>
      </c>
      <c r="N89" s="652">
        <v>27.5</v>
      </c>
      <c r="O89" s="652">
        <v>37.6</v>
      </c>
      <c r="P89" s="652">
        <v>31.2</v>
      </c>
      <c r="Q89" s="652">
        <v>19.2</v>
      </c>
      <c r="R89" s="652">
        <v>19.2</v>
      </c>
      <c r="S89" s="652">
        <v>14.2</v>
      </c>
      <c r="T89" s="652">
        <v>9.1999999999999993</v>
      </c>
      <c r="U89" s="652">
        <v>7.6</v>
      </c>
      <c r="V89" s="652">
        <v>6.2</v>
      </c>
    </row>
    <row r="90" spans="4:22" ht="20.25" x14ac:dyDescent="0.4">
      <c r="D90" s="552" t="s">
        <v>97</v>
      </c>
      <c r="E90" s="824"/>
      <c r="F90" s="827"/>
      <c r="G90" s="653">
        <v>0</v>
      </c>
      <c r="H90" s="653">
        <v>0</v>
      </c>
      <c r="I90" s="653">
        <v>0</v>
      </c>
      <c r="J90" s="653">
        <v>0</v>
      </c>
      <c r="K90" s="653">
        <v>0</v>
      </c>
      <c r="L90" s="653">
        <v>0.3</v>
      </c>
      <c r="M90" s="653">
        <v>0.2</v>
      </c>
      <c r="N90" s="653">
        <v>1.2</v>
      </c>
      <c r="O90" s="653">
        <v>1.6</v>
      </c>
      <c r="P90" s="653">
        <v>1.9</v>
      </c>
      <c r="Q90" s="653">
        <v>1.5</v>
      </c>
      <c r="R90" s="653">
        <v>1.5</v>
      </c>
      <c r="S90" s="653">
        <v>1.4</v>
      </c>
      <c r="T90" s="653">
        <v>1</v>
      </c>
      <c r="U90" s="653">
        <v>0.9</v>
      </c>
      <c r="V90" s="653">
        <v>0.8</v>
      </c>
    </row>
    <row r="91" spans="4:22" ht="20.25" x14ac:dyDescent="0.3">
      <c r="D91" s="559" t="s">
        <v>98</v>
      </c>
      <c r="E91" s="824"/>
      <c r="F91" s="827"/>
      <c r="G91" s="653">
        <v>0</v>
      </c>
      <c r="H91" s="653">
        <v>0</v>
      </c>
      <c r="I91" s="653">
        <v>0</v>
      </c>
      <c r="J91" s="653">
        <v>0</v>
      </c>
      <c r="K91" s="653">
        <v>0</v>
      </c>
      <c r="L91" s="653">
        <v>0</v>
      </c>
      <c r="M91" s="653">
        <v>0.1</v>
      </c>
      <c r="N91" s="653">
        <v>0.4</v>
      </c>
      <c r="O91" s="653">
        <v>0.8</v>
      </c>
      <c r="P91" s="653">
        <v>1.1000000000000001</v>
      </c>
      <c r="Q91" s="653">
        <v>1.3</v>
      </c>
      <c r="R91" s="653">
        <v>1.3</v>
      </c>
      <c r="S91" s="653">
        <v>1.6</v>
      </c>
      <c r="T91" s="653">
        <v>1.3</v>
      </c>
      <c r="U91" s="653">
        <v>1.3</v>
      </c>
      <c r="V91" s="653">
        <v>1.3</v>
      </c>
    </row>
    <row r="92" spans="4:22" ht="20.25" x14ac:dyDescent="0.3">
      <c r="D92" s="559" t="s">
        <v>99</v>
      </c>
      <c r="E92" s="824"/>
      <c r="F92" s="827"/>
      <c r="G92" s="653">
        <v>0</v>
      </c>
      <c r="H92" s="653">
        <v>0</v>
      </c>
      <c r="I92" s="653">
        <v>0</v>
      </c>
      <c r="J92" s="653">
        <v>0</v>
      </c>
      <c r="K92" s="653">
        <v>0</v>
      </c>
      <c r="L92" s="653">
        <v>0.8</v>
      </c>
      <c r="M92" s="653">
        <v>0.3</v>
      </c>
      <c r="N92" s="653">
        <v>2.6</v>
      </c>
      <c r="O92" s="653">
        <v>0.8</v>
      </c>
      <c r="P92" s="653">
        <v>1.3</v>
      </c>
      <c r="Q92" s="653">
        <v>2</v>
      </c>
      <c r="R92" s="653">
        <v>2</v>
      </c>
      <c r="S92" s="653">
        <v>1.7</v>
      </c>
      <c r="T92" s="653">
        <v>2.2999999999999998</v>
      </c>
      <c r="U92" s="653">
        <v>2.2999999999999998</v>
      </c>
      <c r="V92" s="653">
        <v>2.2999999999999998</v>
      </c>
    </row>
    <row r="93" spans="4:22" ht="20.25" x14ac:dyDescent="0.3">
      <c r="D93" s="559" t="s">
        <v>100</v>
      </c>
      <c r="E93" s="824"/>
      <c r="F93" s="827"/>
      <c r="G93" s="653">
        <v>0</v>
      </c>
      <c r="H93" s="653">
        <v>0</v>
      </c>
      <c r="I93" s="653">
        <v>0</v>
      </c>
      <c r="J93" s="653">
        <v>0</v>
      </c>
      <c r="K93" s="653">
        <v>0</v>
      </c>
      <c r="L93" s="653">
        <v>1.6</v>
      </c>
      <c r="M93" s="653">
        <v>0.4</v>
      </c>
      <c r="N93" s="653">
        <v>2.2999999999999998</v>
      </c>
      <c r="O93" s="653">
        <v>0.3</v>
      </c>
      <c r="P93" s="653">
        <v>0.4</v>
      </c>
      <c r="Q93" s="653">
        <v>0.8</v>
      </c>
      <c r="R93" s="653">
        <v>0.8</v>
      </c>
      <c r="S93" s="653">
        <v>0.5</v>
      </c>
      <c r="T93" s="653">
        <v>1</v>
      </c>
      <c r="U93" s="653">
        <v>1</v>
      </c>
      <c r="V93" s="653">
        <v>1</v>
      </c>
    </row>
    <row r="94" spans="4:22" ht="20.25" x14ac:dyDescent="0.4">
      <c r="D94" s="545" t="s">
        <v>101</v>
      </c>
      <c r="E94" s="824"/>
      <c r="F94" s="827"/>
      <c r="G94" s="654">
        <v>0</v>
      </c>
      <c r="H94" s="654">
        <v>0</v>
      </c>
      <c r="I94" s="654">
        <v>0</v>
      </c>
      <c r="J94" s="654">
        <v>0</v>
      </c>
      <c r="K94" s="654">
        <v>0</v>
      </c>
      <c r="L94" s="654">
        <v>0</v>
      </c>
      <c r="M94" s="654">
        <v>0.4</v>
      </c>
      <c r="N94" s="654">
        <v>1.3</v>
      </c>
      <c r="O94" s="654">
        <v>0.5</v>
      </c>
      <c r="P94" s="654">
        <v>0.7</v>
      </c>
      <c r="Q94" s="654">
        <v>1.1000000000000001</v>
      </c>
      <c r="R94" s="654">
        <v>1.1000000000000001</v>
      </c>
      <c r="S94" s="654">
        <v>0.3</v>
      </c>
      <c r="T94" s="654">
        <v>0.6</v>
      </c>
      <c r="U94" s="654">
        <v>1.4</v>
      </c>
      <c r="V94" s="654">
        <v>1.5</v>
      </c>
    </row>
    <row r="95" spans="4:22" ht="20.25" x14ac:dyDescent="0.4">
      <c r="D95" s="552" t="s">
        <v>102</v>
      </c>
      <c r="E95" s="824"/>
      <c r="F95" s="827"/>
      <c r="G95" s="653">
        <v>0</v>
      </c>
      <c r="H95" s="653">
        <v>0</v>
      </c>
      <c r="I95" s="653">
        <v>0</v>
      </c>
      <c r="J95" s="653">
        <v>0</v>
      </c>
      <c r="K95" s="653">
        <v>0</v>
      </c>
      <c r="L95" s="653">
        <v>0.9</v>
      </c>
      <c r="M95" s="653">
        <v>0.8</v>
      </c>
      <c r="N95" s="653">
        <v>2.7</v>
      </c>
      <c r="O95" s="653">
        <v>0.9</v>
      </c>
      <c r="P95" s="653">
        <v>0.5</v>
      </c>
      <c r="Q95" s="653">
        <v>0.4</v>
      </c>
      <c r="R95" s="653">
        <v>0.4</v>
      </c>
      <c r="S95" s="653">
        <v>0.3</v>
      </c>
      <c r="T95" s="653">
        <v>0.4</v>
      </c>
      <c r="U95" s="653">
        <v>0.3</v>
      </c>
      <c r="V95" s="653">
        <v>0.4</v>
      </c>
    </row>
    <row r="96" spans="4:22" x14ac:dyDescent="0.3">
      <c r="D96" s="559" t="s">
        <v>103</v>
      </c>
      <c r="E96" s="824"/>
      <c r="F96" s="827"/>
      <c r="G96" s="653">
        <v>0</v>
      </c>
      <c r="H96" s="653">
        <v>0</v>
      </c>
      <c r="I96" s="653">
        <v>0</v>
      </c>
      <c r="J96" s="653">
        <v>0</v>
      </c>
      <c r="K96" s="653">
        <v>0</v>
      </c>
      <c r="L96" s="653">
        <v>0</v>
      </c>
      <c r="M96" s="653">
        <v>0</v>
      </c>
      <c r="N96" s="653">
        <v>0</v>
      </c>
      <c r="O96" s="653">
        <v>0</v>
      </c>
      <c r="P96" s="653">
        <v>0</v>
      </c>
      <c r="Q96" s="653">
        <v>0</v>
      </c>
      <c r="R96" s="653">
        <v>0</v>
      </c>
      <c r="S96" s="653">
        <v>0</v>
      </c>
      <c r="T96" s="653">
        <v>0</v>
      </c>
      <c r="U96" s="653">
        <v>0</v>
      </c>
      <c r="V96" s="653">
        <v>0</v>
      </c>
    </row>
    <row r="97" spans="4:22" ht="20.25" x14ac:dyDescent="0.3">
      <c r="D97" s="559" t="s">
        <v>104</v>
      </c>
      <c r="E97" s="824"/>
      <c r="F97" s="827"/>
      <c r="G97" s="653">
        <v>0</v>
      </c>
      <c r="H97" s="653">
        <v>0</v>
      </c>
      <c r="I97" s="653">
        <v>0</v>
      </c>
      <c r="J97" s="653">
        <v>0</v>
      </c>
      <c r="K97" s="653">
        <v>0</v>
      </c>
      <c r="L97" s="653">
        <v>0</v>
      </c>
      <c r="M97" s="653">
        <v>0</v>
      </c>
      <c r="N97" s="653">
        <v>0</v>
      </c>
      <c r="O97" s="653">
        <v>0</v>
      </c>
      <c r="P97" s="653">
        <v>0</v>
      </c>
      <c r="Q97" s="653">
        <v>0</v>
      </c>
      <c r="R97" s="653">
        <v>0</v>
      </c>
      <c r="S97" s="653">
        <v>0</v>
      </c>
      <c r="T97" s="653">
        <v>0</v>
      </c>
      <c r="U97" s="653">
        <v>0</v>
      </c>
      <c r="V97" s="653">
        <v>0</v>
      </c>
    </row>
    <row r="98" spans="4:22" ht="20.25" x14ac:dyDescent="0.4">
      <c r="D98" s="552" t="s">
        <v>96</v>
      </c>
      <c r="E98" s="824"/>
      <c r="F98" s="827"/>
      <c r="G98" s="655">
        <v>0</v>
      </c>
      <c r="H98" s="655">
        <v>0</v>
      </c>
      <c r="I98" s="655">
        <v>0</v>
      </c>
      <c r="J98" s="655">
        <v>0</v>
      </c>
      <c r="K98" s="655">
        <v>0</v>
      </c>
      <c r="L98" s="655">
        <v>2.1</v>
      </c>
      <c r="M98" s="655">
        <v>35.1</v>
      </c>
      <c r="N98" s="655">
        <v>30.9</v>
      </c>
      <c r="O98" s="655">
        <v>42.4</v>
      </c>
      <c r="P98" s="655">
        <v>56</v>
      </c>
      <c r="Q98" s="655">
        <v>70.2</v>
      </c>
      <c r="R98" s="655">
        <v>70.2</v>
      </c>
      <c r="S98" s="655">
        <v>75.900000000000006</v>
      </c>
      <c r="T98" s="655">
        <v>83.4</v>
      </c>
      <c r="U98" s="655">
        <v>84.7</v>
      </c>
      <c r="V98" s="655">
        <v>85.5</v>
      </c>
    </row>
    <row r="99" spans="4:22" ht="21" thickBot="1" x14ac:dyDescent="0.35">
      <c r="D99" s="656" t="s">
        <v>366</v>
      </c>
      <c r="E99" s="825"/>
      <c r="F99" s="828"/>
      <c r="G99" s="657">
        <v>0</v>
      </c>
      <c r="H99" s="657">
        <v>0</v>
      </c>
      <c r="I99" s="657">
        <v>0</v>
      </c>
      <c r="J99" s="657">
        <v>0</v>
      </c>
      <c r="K99" s="657">
        <v>0</v>
      </c>
      <c r="L99" s="657">
        <v>90.7</v>
      </c>
      <c r="M99" s="657">
        <v>49.7</v>
      </c>
      <c r="N99" s="657">
        <v>31</v>
      </c>
      <c r="O99" s="657">
        <v>15.1</v>
      </c>
      <c r="P99" s="657">
        <v>7</v>
      </c>
      <c r="Q99" s="657">
        <v>3.4</v>
      </c>
      <c r="R99" s="657">
        <v>3.4</v>
      </c>
      <c r="S99" s="657">
        <v>4.0999999999999996</v>
      </c>
      <c r="T99" s="657">
        <v>0.9</v>
      </c>
      <c r="U99" s="657">
        <v>0.6</v>
      </c>
      <c r="V99" s="657">
        <v>0.9</v>
      </c>
    </row>
    <row r="100" spans="4:22" ht="18" thickBot="1" x14ac:dyDescent="0.35">
      <c r="D100" s="541" t="s">
        <v>22</v>
      </c>
      <c r="E100" s="542" t="s">
        <v>23</v>
      </c>
      <c r="F100" s="542" t="s">
        <v>24</v>
      </c>
      <c r="G100" s="542" t="s">
        <v>3</v>
      </c>
      <c r="H100" s="542" t="s">
        <v>3</v>
      </c>
      <c r="I100" s="542" t="s">
        <v>3</v>
      </c>
      <c r="J100" s="542" t="s">
        <v>3</v>
      </c>
      <c r="K100" s="542" t="s">
        <v>3</v>
      </c>
      <c r="L100" s="542" t="s">
        <v>3</v>
      </c>
      <c r="M100" s="542" t="s">
        <v>3</v>
      </c>
      <c r="N100" s="542" t="s">
        <v>3</v>
      </c>
      <c r="O100" s="542" t="s">
        <v>3</v>
      </c>
      <c r="P100" s="542" t="s">
        <v>3</v>
      </c>
      <c r="Q100" s="542" t="s">
        <v>3</v>
      </c>
      <c r="R100" s="542" t="s">
        <v>3</v>
      </c>
      <c r="S100" s="542" t="s">
        <v>3</v>
      </c>
      <c r="T100" s="542" t="s">
        <v>3</v>
      </c>
      <c r="U100" s="542" t="s">
        <v>3</v>
      </c>
      <c r="V100" s="542" t="s">
        <v>3</v>
      </c>
    </row>
    <row r="101" spans="4:22" x14ac:dyDescent="0.3">
      <c r="D101" s="545" t="s">
        <v>56</v>
      </c>
      <c r="E101" s="823" t="s">
        <v>95</v>
      </c>
      <c r="F101" s="826" t="s">
        <v>29</v>
      </c>
      <c r="G101" s="652">
        <v>0</v>
      </c>
      <c r="H101" s="652">
        <v>0</v>
      </c>
      <c r="I101" s="652">
        <v>0</v>
      </c>
      <c r="J101" s="652">
        <v>0</v>
      </c>
      <c r="K101" s="658">
        <v>0</v>
      </c>
      <c r="L101" s="658">
        <v>27.4</v>
      </c>
      <c r="M101" s="658">
        <v>40.4</v>
      </c>
      <c r="N101" s="658">
        <v>42.7</v>
      </c>
      <c r="O101" s="658">
        <v>41</v>
      </c>
      <c r="P101" s="658">
        <v>44.9</v>
      </c>
      <c r="Q101" s="658">
        <v>42.6</v>
      </c>
      <c r="R101" s="658">
        <v>42.6</v>
      </c>
      <c r="S101" s="658">
        <v>41</v>
      </c>
      <c r="T101" s="658">
        <v>40.700000000000003</v>
      </c>
      <c r="U101" s="658">
        <v>43.8</v>
      </c>
      <c r="V101" s="658">
        <v>41.8</v>
      </c>
    </row>
    <row r="102" spans="4:22" ht="20.25" x14ac:dyDescent="0.4">
      <c r="D102" s="552" t="s">
        <v>97</v>
      </c>
      <c r="E102" s="824"/>
      <c r="F102" s="827"/>
      <c r="G102" s="653">
        <v>0</v>
      </c>
      <c r="H102" s="653">
        <v>0</v>
      </c>
      <c r="I102" s="653">
        <v>0</v>
      </c>
      <c r="J102" s="653">
        <v>0</v>
      </c>
      <c r="K102" s="659">
        <v>0</v>
      </c>
      <c r="L102" s="659">
        <v>10.3</v>
      </c>
      <c r="M102" s="659">
        <v>14.2</v>
      </c>
      <c r="N102" s="659">
        <v>14.3</v>
      </c>
      <c r="O102" s="659">
        <v>13.3</v>
      </c>
      <c r="P102" s="659">
        <v>14</v>
      </c>
      <c r="Q102" s="659">
        <v>13.2</v>
      </c>
      <c r="R102" s="659">
        <v>13.2</v>
      </c>
      <c r="S102" s="659">
        <v>14.3</v>
      </c>
      <c r="T102" s="659">
        <v>14.3</v>
      </c>
      <c r="U102" s="659">
        <v>15.3</v>
      </c>
      <c r="V102" s="659">
        <v>14.6</v>
      </c>
    </row>
    <row r="103" spans="4:22" ht="20.25" x14ac:dyDescent="0.3">
      <c r="D103" s="559" t="s">
        <v>98</v>
      </c>
      <c r="E103" s="824"/>
      <c r="F103" s="827"/>
      <c r="G103" s="653">
        <v>0</v>
      </c>
      <c r="H103" s="653">
        <v>0</v>
      </c>
      <c r="I103" s="653">
        <v>0</v>
      </c>
      <c r="J103" s="653">
        <v>0</v>
      </c>
      <c r="K103" s="659">
        <v>0</v>
      </c>
      <c r="L103" s="659">
        <v>8.3000000000000007</v>
      </c>
      <c r="M103" s="659">
        <v>11.3</v>
      </c>
      <c r="N103" s="659">
        <v>11</v>
      </c>
      <c r="O103" s="659">
        <v>10.5</v>
      </c>
      <c r="P103" s="659">
        <v>11.4</v>
      </c>
      <c r="Q103" s="659">
        <v>10.6</v>
      </c>
      <c r="R103" s="659">
        <v>10.6</v>
      </c>
      <c r="S103" s="659">
        <v>11.3</v>
      </c>
      <c r="T103" s="659">
        <v>11.3</v>
      </c>
      <c r="U103" s="659">
        <v>12</v>
      </c>
      <c r="V103" s="659">
        <v>11.4</v>
      </c>
    </row>
    <row r="104" spans="4:22" ht="20.25" x14ac:dyDescent="0.3">
      <c r="D104" s="559" t="s">
        <v>99</v>
      </c>
      <c r="E104" s="824"/>
      <c r="F104" s="827"/>
      <c r="G104" s="653">
        <v>0</v>
      </c>
      <c r="H104" s="653">
        <v>0</v>
      </c>
      <c r="I104" s="653">
        <v>0</v>
      </c>
      <c r="J104" s="653">
        <v>0</v>
      </c>
      <c r="K104" s="659">
        <v>0</v>
      </c>
      <c r="L104" s="659">
        <v>14.3</v>
      </c>
      <c r="M104" s="659">
        <v>15.4</v>
      </c>
      <c r="N104" s="659">
        <v>14.2</v>
      </c>
      <c r="O104" s="659">
        <v>14.7</v>
      </c>
      <c r="P104" s="659">
        <v>15.3</v>
      </c>
      <c r="Q104" s="659">
        <v>15.8</v>
      </c>
      <c r="R104" s="659">
        <v>15.8</v>
      </c>
      <c r="S104" s="659">
        <v>15</v>
      </c>
      <c r="T104" s="659">
        <v>14</v>
      </c>
      <c r="U104" s="659">
        <v>13.6</v>
      </c>
      <c r="V104" s="659">
        <v>14.1</v>
      </c>
    </row>
    <row r="105" spans="4:22" ht="20.25" x14ac:dyDescent="0.3">
      <c r="D105" s="559" t="s">
        <v>100</v>
      </c>
      <c r="E105" s="824"/>
      <c r="F105" s="827"/>
      <c r="G105" s="653">
        <v>0</v>
      </c>
      <c r="H105" s="653">
        <v>0</v>
      </c>
      <c r="I105" s="653">
        <v>0</v>
      </c>
      <c r="J105" s="653">
        <v>0</v>
      </c>
      <c r="K105" s="659">
        <v>0</v>
      </c>
      <c r="L105" s="659">
        <v>8.8000000000000007</v>
      </c>
      <c r="M105" s="659">
        <v>5.0999999999999996</v>
      </c>
      <c r="N105" s="659">
        <v>4.5999999999999996</v>
      </c>
      <c r="O105" s="659">
        <v>5.5</v>
      </c>
      <c r="P105" s="659">
        <v>4.8</v>
      </c>
      <c r="Q105" s="659">
        <v>5.7</v>
      </c>
      <c r="R105" s="659">
        <v>5.7</v>
      </c>
      <c r="S105" s="659">
        <v>5.0999999999999996</v>
      </c>
      <c r="T105" s="659">
        <v>4.9000000000000004</v>
      </c>
      <c r="U105" s="659">
        <v>4.2</v>
      </c>
      <c r="V105" s="659">
        <v>4.9000000000000004</v>
      </c>
    </row>
    <row r="106" spans="4:22" ht="20.25" x14ac:dyDescent="0.4">
      <c r="D106" s="545" t="s">
        <v>101</v>
      </c>
      <c r="E106" s="824"/>
      <c r="F106" s="827"/>
      <c r="G106" s="654">
        <v>0</v>
      </c>
      <c r="H106" s="654">
        <v>0</v>
      </c>
      <c r="I106" s="654">
        <v>0</v>
      </c>
      <c r="J106" s="654">
        <v>0</v>
      </c>
      <c r="K106" s="660">
        <v>0</v>
      </c>
      <c r="L106" s="660">
        <v>10.6</v>
      </c>
      <c r="M106" s="660">
        <v>6.9</v>
      </c>
      <c r="N106" s="660">
        <v>8</v>
      </c>
      <c r="O106" s="660">
        <v>9.1999999999999993</v>
      </c>
      <c r="P106" s="660">
        <v>6.3</v>
      </c>
      <c r="Q106" s="660">
        <v>8.9</v>
      </c>
      <c r="R106" s="660">
        <v>8.9</v>
      </c>
      <c r="S106" s="660">
        <v>8.4</v>
      </c>
      <c r="T106" s="660">
        <v>7.2</v>
      </c>
      <c r="U106" s="660">
        <v>7.1</v>
      </c>
      <c r="V106" s="660">
        <v>8.6999999999999993</v>
      </c>
    </row>
    <row r="107" spans="4:22" ht="20.25" x14ac:dyDescent="0.4">
      <c r="D107" s="552" t="s">
        <v>102</v>
      </c>
      <c r="E107" s="824"/>
      <c r="F107" s="827"/>
      <c r="G107" s="653">
        <v>0</v>
      </c>
      <c r="H107" s="653">
        <v>0</v>
      </c>
      <c r="I107" s="653">
        <v>0</v>
      </c>
      <c r="J107" s="653">
        <v>0</v>
      </c>
      <c r="K107" s="659">
        <v>0</v>
      </c>
      <c r="L107" s="659">
        <v>11.3</v>
      </c>
      <c r="M107" s="659">
        <v>4.3</v>
      </c>
      <c r="N107" s="659">
        <v>4.5999999999999996</v>
      </c>
      <c r="O107" s="659">
        <v>5</v>
      </c>
      <c r="P107" s="659">
        <v>2.2999999999999998</v>
      </c>
      <c r="Q107" s="659">
        <v>2.7</v>
      </c>
      <c r="R107" s="659">
        <v>2.7</v>
      </c>
      <c r="S107" s="659">
        <v>4.5999999999999996</v>
      </c>
      <c r="T107" s="659">
        <v>3.5</v>
      </c>
      <c r="U107" s="659">
        <v>3.8</v>
      </c>
      <c r="V107" s="659">
        <v>4.2</v>
      </c>
    </row>
    <row r="108" spans="4:22" x14ac:dyDescent="0.3">
      <c r="D108" s="559" t="s">
        <v>103</v>
      </c>
      <c r="E108" s="824"/>
      <c r="F108" s="827"/>
      <c r="G108" s="653">
        <v>0</v>
      </c>
      <c r="H108" s="653">
        <v>0</v>
      </c>
      <c r="I108" s="653">
        <v>0</v>
      </c>
      <c r="J108" s="653">
        <v>0</v>
      </c>
      <c r="K108" s="659">
        <v>0</v>
      </c>
      <c r="L108" s="659">
        <v>0</v>
      </c>
      <c r="M108" s="659">
        <v>0</v>
      </c>
      <c r="N108" s="659">
        <v>0</v>
      </c>
      <c r="O108" s="659">
        <v>0</v>
      </c>
      <c r="P108" s="659">
        <v>0</v>
      </c>
      <c r="Q108" s="659">
        <v>0</v>
      </c>
      <c r="R108" s="659">
        <v>0</v>
      </c>
      <c r="S108" s="659">
        <v>0</v>
      </c>
      <c r="T108" s="659">
        <v>0</v>
      </c>
      <c r="U108" s="659">
        <v>0</v>
      </c>
      <c r="V108" s="659">
        <v>0</v>
      </c>
    </row>
    <row r="109" spans="4:22" ht="20.25" x14ac:dyDescent="0.3">
      <c r="D109" s="559" t="s">
        <v>104</v>
      </c>
      <c r="E109" s="824"/>
      <c r="F109" s="827"/>
      <c r="G109" s="653">
        <v>0</v>
      </c>
      <c r="H109" s="653">
        <v>0</v>
      </c>
      <c r="I109" s="653">
        <v>0</v>
      </c>
      <c r="J109" s="653">
        <v>0</v>
      </c>
      <c r="K109" s="659">
        <v>0</v>
      </c>
      <c r="L109" s="659">
        <v>0</v>
      </c>
      <c r="M109" s="659">
        <v>0</v>
      </c>
      <c r="N109" s="659">
        <v>0</v>
      </c>
      <c r="O109" s="659">
        <v>0</v>
      </c>
      <c r="P109" s="659">
        <v>0</v>
      </c>
      <c r="Q109" s="659">
        <v>0</v>
      </c>
      <c r="R109" s="659">
        <v>0</v>
      </c>
      <c r="S109" s="659">
        <v>0</v>
      </c>
      <c r="T109" s="659">
        <v>0</v>
      </c>
      <c r="U109" s="659">
        <v>0</v>
      </c>
      <c r="V109" s="659">
        <v>0</v>
      </c>
    </row>
    <row r="110" spans="4:22" ht="20.25" x14ac:dyDescent="0.4">
      <c r="D110" s="552" t="s">
        <v>96</v>
      </c>
      <c r="E110" s="824"/>
      <c r="F110" s="827"/>
      <c r="G110" s="655">
        <v>0</v>
      </c>
      <c r="H110" s="655">
        <v>0</v>
      </c>
      <c r="I110" s="655">
        <v>0</v>
      </c>
      <c r="J110" s="655">
        <v>0</v>
      </c>
      <c r="K110" s="661">
        <v>0</v>
      </c>
      <c r="L110" s="661">
        <v>0</v>
      </c>
      <c r="M110" s="661">
        <v>0</v>
      </c>
      <c r="N110" s="661">
        <v>0</v>
      </c>
      <c r="O110" s="661">
        <v>0</v>
      </c>
      <c r="P110" s="661">
        <v>0.5</v>
      </c>
      <c r="Q110" s="661">
        <v>0</v>
      </c>
      <c r="R110" s="661">
        <v>0</v>
      </c>
      <c r="S110" s="661">
        <v>0</v>
      </c>
      <c r="T110" s="661">
        <v>3.8</v>
      </c>
      <c r="U110" s="661">
        <v>0</v>
      </c>
      <c r="V110" s="661">
        <v>0</v>
      </c>
    </row>
    <row r="111" spans="4:22" ht="21" thickBot="1" x14ac:dyDescent="0.35">
      <c r="D111" s="656" t="s">
        <v>366</v>
      </c>
      <c r="E111" s="825"/>
      <c r="F111" s="828"/>
      <c r="G111" s="657">
        <v>0</v>
      </c>
      <c r="H111" s="657">
        <v>0</v>
      </c>
      <c r="I111" s="657">
        <v>0</v>
      </c>
      <c r="J111" s="657">
        <v>0</v>
      </c>
      <c r="K111" s="662">
        <v>0</v>
      </c>
      <c r="L111" s="662">
        <v>8.9</v>
      </c>
      <c r="M111" s="662">
        <v>2.2999999999999998</v>
      </c>
      <c r="N111" s="662">
        <v>0.7</v>
      </c>
      <c r="O111" s="662">
        <v>0.7</v>
      </c>
      <c r="P111" s="662">
        <v>0.5</v>
      </c>
      <c r="Q111" s="662">
        <v>0.3</v>
      </c>
      <c r="R111" s="662">
        <v>0.3</v>
      </c>
      <c r="S111" s="662">
        <v>0.3</v>
      </c>
      <c r="T111" s="662">
        <v>0.3</v>
      </c>
      <c r="U111" s="662">
        <v>0.3</v>
      </c>
      <c r="V111" s="662">
        <v>0.4</v>
      </c>
    </row>
    <row r="112" spans="4:22" x14ac:dyDescent="0.3">
      <c r="R112" s="781" t="s">
        <v>499</v>
      </c>
    </row>
    <row r="114" spans="22:24" x14ac:dyDescent="0.3">
      <c r="V114" s="538"/>
      <c r="W114" s="538"/>
      <c r="X114" s="538"/>
    </row>
  </sheetData>
  <mergeCells count="26">
    <mergeCell ref="D1:H1"/>
    <mergeCell ref="H4:K4"/>
    <mergeCell ref="E12:E17"/>
    <mergeCell ref="F12:F17"/>
    <mergeCell ref="L3:V3"/>
    <mergeCell ref="L4:V4"/>
    <mergeCell ref="D18:D20"/>
    <mergeCell ref="E19:E20"/>
    <mergeCell ref="D21:D23"/>
    <mergeCell ref="E22:E23"/>
    <mergeCell ref="E24:E27"/>
    <mergeCell ref="F24:F27"/>
    <mergeCell ref="E39:E44"/>
    <mergeCell ref="F39:F44"/>
    <mergeCell ref="E48:E60"/>
    <mergeCell ref="F48:F61"/>
    <mergeCell ref="E89:E99"/>
    <mergeCell ref="F89:F99"/>
    <mergeCell ref="E101:E111"/>
    <mergeCell ref="F101:F111"/>
    <mergeCell ref="E63:E69"/>
    <mergeCell ref="F63:F69"/>
    <mergeCell ref="E71:E75"/>
    <mergeCell ref="F71:F75"/>
    <mergeCell ref="E76:E82"/>
    <mergeCell ref="F76:F82"/>
  </mergeCells>
  <phoneticPr fontId="40" type="noConversion"/>
  <printOptions horizontalCentered="1"/>
  <pageMargins left="0.24" right="0.17" top="0.52" bottom="0.38" header="0.31496062992126" footer="0.16"/>
  <pageSetup paperSize="9" scale="47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2A28-ACCA-4B5F-9D2E-8C6F9F6CDA36}">
  <sheetPr>
    <tabColor rgb="FFFFFF00"/>
    <pageSetUpPr fitToPage="1"/>
  </sheetPr>
  <dimension ref="B1:S94"/>
  <sheetViews>
    <sheetView showGridLines="0" zoomScale="70" zoomScaleNormal="70" zoomScaleSheetLayoutView="100" workbookViewId="0">
      <pane xSplit="5" ySplit="7" topLeftCell="F21" activePane="bottomRight" state="frozen"/>
      <selection pane="topRight" activeCell="F1" sqref="F1"/>
      <selection pane="bottomLeft" activeCell="A8" sqref="A8"/>
      <selection pane="bottomRight" activeCell="N68" sqref="N68"/>
    </sheetView>
  </sheetViews>
  <sheetFormatPr defaultColWidth="9.140625" defaultRowHeight="17.25" x14ac:dyDescent="0.3"/>
  <cols>
    <col min="1" max="2" width="9.140625" style="525"/>
    <col min="3" max="3" width="1" style="525" customWidth="1"/>
    <col min="4" max="4" width="31.28515625" style="538" customWidth="1"/>
    <col min="5" max="5" width="31.85546875" style="538" bestFit="1" customWidth="1"/>
    <col min="6" max="6" width="14.42578125" style="538" customWidth="1"/>
    <col min="7" max="17" width="22.7109375" style="538" customWidth="1"/>
    <col min="18" max="19" width="22.7109375" style="531" customWidth="1"/>
    <col min="20" max="25" width="22.7109375" style="525" customWidth="1"/>
    <col min="26" max="16384" width="9.140625" style="525"/>
  </cols>
  <sheetData>
    <row r="1" spans="4:19" ht="26.25" customHeight="1" x14ac:dyDescent="0.35">
      <c r="D1" s="855" t="s">
        <v>9</v>
      </c>
      <c r="E1" s="855"/>
      <c r="F1" s="855"/>
      <c r="G1" s="855"/>
      <c r="H1" s="855"/>
      <c r="I1" s="522"/>
      <c r="J1" s="522"/>
      <c r="K1" s="522"/>
      <c r="L1" s="523"/>
      <c r="M1" s="523"/>
      <c r="N1" s="523"/>
      <c r="O1" s="523"/>
      <c r="P1" s="523"/>
      <c r="Q1" s="523"/>
      <c r="R1" s="524"/>
      <c r="S1" s="524"/>
    </row>
    <row r="2" spans="4:19" ht="30.75" customHeight="1" x14ac:dyDescent="0.3">
      <c r="D2" s="526" t="s">
        <v>10</v>
      </c>
      <c r="E2" s="527" t="s">
        <v>11</v>
      </c>
      <c r="F2" s="528"/>
      <c r="G2" s="528"/>
      <c r="H2" s="529"/>
      <c r="I2" s="529"/>
      <c r="J2" s="529"/>
      <c r="K2" s="529"/>
      <c r="L2" s="525"/>
      <c r="M2" s="525"/>
      <c r="N2" s="525"/>
      <c r="O2" s="525"/>
      <c r="P2" s="525"/>
      <c r="Q2" s="525"/>
    </row>
    <row r="3" spans="4:19" ht="26.25" customHeight="1" x14ac:dyDescent="0.3">
      <c r="D3" s="526" t="s">
        <v>12</v>
      </c>
      <c r="E3" s="532" t="s">
        <v>13</v>
      </c>
      <c r="F3" s="533"/>
      <c r="G3" s="533"/>
      <c r="H3" s="529"/>
      <c r="I3" s="529"/>
      <c r="J3" s="529"/>
      <c r="K3" s="529"/>
      <c r="L3" s="525"/>
      <c r="M3" s="525"/>
      <c r="N3" s="525"/>
      <c r="O3" s="525"/>
      <c r="P3" s="525"/>
      <c r="Q3" s="525"/>
    </row>
    <row r="4" spans="4:19" ht="28.5" customHeight="1" x14ac:dyDescent="0.3">
      <c r="D4" s="526" t="s">
        <v>14</v>
      </c>
      <c r="E4" s="534" t="s">
        <v>15</v>
      </c>
      <c r="F4" s="533"/>
      <c r="G4" s="533"/>
      <c r="H4" s="858" t="s">
        <v>330</v>
      </c>
      <c r="I4" s="858"/>
      <c r="J4" s="858"/>
      <c r="K4" s="858"/>
      <c r="L4" s="858"/>
      <c r="M4" s="858"/>
      <c r="N4" s="858"/>
      <c r="O4" s="858"/>
      <c r="P4" s="858"/>
      <c r="Q4" s="858"/>
      <c r="R4" s="535"/>
      <c r="S4" s="536"/>
    </row>
    <row r="5" spans="4:19" ht="56.25" customHeight="1" x14ac:dyDescent="0.3">
      <c r="D5" s="537"/>
      <c r="H5" s="539" t="s">
        <v>331</v>
      </c>
      <c r="I5" s="540" t="s">
        <v>332</v>
      </c>
      <c r="J5" s="540" t="s">
        <v>333</v>
      </c>
      <c r="K5" s="540" t="s">
        <v>334</v>
      </c>
      <c r="L5" s="540" t="s">
        <v>335</v>
      </c>
      <c r="M5" s="540" t="s">
        <v>336</v>
      </c>
      <c r="N5" s="540" t="s">
        <v>337</v>
      </c>
      <c r="O5" s="540" t="s">
        <v>371</v>
      </c>
      <c r="P5" s="540" t="s">
        <v>372</v>
      </c>
      <c r="Q5" s="540" t="s">
        <v>373</v>
      </c>
      <c r="R5" s="540" t="s">
        <v>519</v>
      </c>
    </row>
    <row r="6" spans="4:19" ht="17.25" customHeight="1" thickBot="1" x14ac:dyDescent="0.35">
      <c r="D6" s="537"/>
      <c r="H6" s="530" t="s">
        <v>338</v>
      </c>
      <c r="I6" s="530" t="s">
        <v>339</v>
      </c>
      <c r="J6" s="530" t="s">
        <v>340</v>
      </c>
      <c r="K6" s="530" t="s">
        <v>341</v>
      </c>
      <c r="L6" s="530" t="s">
        <v>342</v>
      </c>
      <c r="M6" s="530" t="s">
        <v>343</v>
      </c>
      <c r="N6" s="530" t="s">
        <v>344</v>
      </c>
      <c r="O6" s="530" t="s">
        <v>502</v>
      </c>
      <c r="P6" s="530" t="s">
        <v>506</v>
      </c>
      <c r="Q6" s="530" t="s">
        <v>507</v>
      </c>
      <c r="R6" s="530" t="s">
        <v>520</v>
      </c>
      <c r="S6" s="525"/>
    </row>
    <row r="7" spans="4:19" ht="18" thickBot="1" x14ac:dyDescent="0.35">
      <c r="D7" s="541" t="s">
        <v>22</v>
      </c>
      <c r="E7" s="542" t="s">
        <v>23</v>
      </c>
      <c r="F7" s="543" t="s">
        <v>24</v>
      </c>
      <c r="G7" s="544" t="s">
        <v>25</v>
      </c>
      <c r="H7" s="544" t="s">
        <v>1</v>
      </c>
      <c r="I7" s="544" t="s">
        <v>1</v>
      </c>
      <c r="J7" s="544" t="s">
        <v>1</v>
      </c>
      <c r="K7" s="544" t="s">
        <v>1</v>
      </c>
      <c r="L7" s="544" t="s">
        <v>1</v>
      </c>
      <c r="M7" s="544" t="s">
        <v>1</v>
      </c>
      <c r="N7" s="544" t="s">
        <v>1</v>
      </c>
      <c r="O7" s="784" t="s">
        <v>1</v>
      </c>
      <c r="P7" s="784" t="s">
        <v>1</v>
      </c>
      <c r="Q7" s="784" t="s">
        <v>1</v>
      </c>
      <c r="R7" s="784" t="s">
        <v>1</v>
      </c>
      <c r="S7" s="525"/>
    </row>
    <row r="8" spans="4:19" ht="19.5" customHeight="1" x14ac:dyDescent="0.3">
      <c r="D8" s="545" t="s">
        <v>27</v>
      </c>
      <c r="E8" s="546" t="s">
        <v>28</v>
      </c>
      <c r="F8" s="547" t="s">
        <v>29</v>
      </c>
      <c r="G8" s="548">
        <v>100</v>
      </c>
      <c r="H8" s="549"/>
      <c r="I8" s="549"/>
      <c r="J8" s="550"/>
      <c r="K8" s="550"/>
      <c r="L8" s="550"/>
      <c r="M8" s="551"/>
      <c r="N8" s="551"/>
      <c r="O8" s="551"/>
      <c r="P8" s="551"/>
      <c r="Q8" s="551"/>
      <c r="R8" s="551"/>
      <c r="S8" s="525"/>
    </row>
    <row r="9" spans="4:19" ht="19.5" customHeight="1" x14ac:dyDescent="0.3">
      <c r="D9" s="552" t="s">
        <v>30</v>
      </c>
      <c r="E9" s="553" t="s">
        <v>28</v>
      </c>
      <c r="F9" s="554" t="s">
        <v>31</v>
      </c>
      <c r="G9" s="555"/>
      <c r="H9" s="556"/>
      <c r="I9" s="556"/>
      <c r="J9" s="557"/>
      <c r="K9" s="557"/>
      <c r="L9" s="557"/>
      <c r="M9" s="558"/>
      <c r="N9" s="558"/>
      <c r="O9" s="558"/>
      <c r="P9" s="558"/>
      <c r="Q9" s="558"/>
      <c r="R9" s="558"/>
      <c r="S9" s="525"/>
    </row>
    <row r="10" spans="4:19" ht="19.5" customHeight="1" x14ac:dyDescent="0.3">
      <c r="D10" s="559" t="s">
        <v>32</v>
      </c>
      <c r="E10" s="553" t="s">
        <v>33</v>
      </c>
      <c r="F10" s="554" t="s">
        <v>34</v>
      </c>
      <c r="G10" s="560"/>
      <c r="H10" s="561">
        <v>0.81940000000000002</v>
      </c>
      <c r="I10" s="561">
        <v>0.81679999999999997</v>
      </c>
      <c r="J10" s="562">
        <v>0.81440000000000001</v>
      </c>
      <c r="K10" s="562">
        <v>0.79449999999999998</v>
      </c>
      <c r="L10" s="562">
        <v>0.7903</v>
      </c>
      <c r="M10" s="563">
        <v>0.78890000000000005</v>
      </c>
      <c r="N10" s="563">
        <v>0.7883</v>
      </c>
      <c r="O10" s="563">
        <v>0.79120000000000001</v>
      </c>
      <c r="P10" s="563">
        <v>0.78869999999999996</v>
      </c>
      <c r="Q10" s="563">
        <v>0.78790000000000004</v>
      </c>
      <c r="R10" s="563">
        <v>0.78800000000000003</v>
      </c>
      <c r="S10" s="525"/>
    </row>
    <row r="11" spans="4:19" ht="19.5" customHeight="1" x14ac:dyDescent="0.3">
      <c r="D11" s="559" t="s">
        <v>35</v>
      </c>
      <c r="E11" s="553" t="s">
        <v>36</v>
      </c>
      <c r="F11" s="554" t="s">
        <v>28</v>
      </c>
      <c r="G11" s="561">
        <v>1.08</v>
      </c>
      <c r="H11" s="560"/>
      <c r="I11" s="560"/>
      <c r="J11" s="564"/>
      <c r="K11" s="564"/>
      <c r="L11" s="564"/>
      <c r="M11" s="565"/>
      <c r="N11" s="565"/>
      <c r="O11" s="565"/>
      <c r="P11" s="565"/>
      <c r="Q11" s="565"/>
      <c r="R11" s="565"/>
      <c r="S11" s="525"/>
    </row>
    <row r="12" spans="4:19" ht="19.5" customHeight="1" x14ac:dyDescent="0.3">
      <c r="D12" s="566" t="s">
        <v>37</v>
      </c>
      <c r="E12" s="854" t="s">
        <v>38</v>
      </c>
      <c r="F12" s="843" t="s">
        <v>39</v>
      </c>
      <c r="G12" s="560"/>
      <c r="H12" s="560"/>
      <c r="I12" s="560"/>
      <c r="J12" s="564"/>
      <c r="K12" s="564"/>
      <c r="L12" s="564"/>
      <c r="M12" s="565"/>
      <c r="N12" s="565"/>
      <c r="O12" s="565"/>
      <c r="P12" s="565"/>
      <c r="Q12" s="565"/>
      <c r="R12" s="565"/>
      <c r="S12" s="525"/>
    </row>
    <row r="13" spans="4:19" ht="19.5" customHeight="1" x14ac:dyDescent="0.3">
      <c r="D13" s="566" t="s">
        <v>40</v>
      </c>
      <c r="E13" s="838"/>
      <c r="F13" s="844"/>
      <c r="G13" s="569"/>
      <c r="H13" s="570"/>
      <c r="I13" s="570"/>
      <c r="J13" s="571"/>
      <c r="K13" s="571"/>
      <c r="L13" s="571"/>
      <c r="M13" s="572"/>
      <c r="N13" s="572"/>
      <c r="O13" s="572"/>
      <c r="P13" s="572"/>
      <c r="Q13" s="572"/>
      <c r="R13" s="572"/>
      <c r="S13" s="525"/>
    </row>
    <row r="14" spans="4:19" ht="19.5" customHeight="1" x14ac:dyDescent="0.3">
      <c r="D14" s="566" t="s">
        <v>41</v>
      </c>
      <c r="E14" s="838"/>
      <c r="F14" s="844"/>
      <c r="G14" s="569"/>
      <c r="H14" s="573"/>
      <c r="I14" s="574"/>
      <c r="J14" s="575"/>
      <c r="K14" s="575"/>
      <c r="L14" s="575"/>
      <c r="M14" s="576"/>
      <c r="N14" s="576"/>
      <c r="O14" s="576"/>
      <c r="P14" s="576"/>
      <c r="Q14" s="576"/>
      <c r="R14" s="576"/>
      <c r="S14" s="525"/>
    </row>
    <row r="15" spans="4:19" ht="19.5" customHeight="1" x14ac:dyDescent="0.3">
      <c r="D15" s="566" t="s">
        <v>42</v>
      </c>
      <c r="E15" s="838"/>
      <c r="F15" s="844"/>
      <c r="G15" s="569"/>
      <c r="H15" s="573"/>
      <c r="I15" s="573"/>
      <c r="J15" s="577"/>
      <c r="K15" s="577"/>
      <c r="L15" s="577"/>
      <c r="M15" s="578"/>
      <c r="N15" s="578"/>
      <c r="O15" s="578"/>
      <c r="P15" s="578"/>
      <c r="Q15" s="578"/>
      <c r="R15" s="578"/>
      <c r="S15" s="525"/>
    </row>
    <row r="16" spans="4:19" ht="19.5" customHeight="1" x14ac:dyDescent="0.3">
      <c r="D16" s="566" t="s">
        <v>43</v>
      </c>
      <c r="E16" s="838"/>
      <c r="F16" s="844"/>
      <c r="G16" s="569"/>
      <c r="H16" s="569"/>
      <c r="I16" s="569"/>
      <c r="J16" s="579"/>
      <c r="K16" s="579"/>
      <c r="L16" s="579"/>
      <c r="M16" s="580"/>
      <c r="N16" s="580"/>
      <c r="O16" s="580"/>
      <c r="P16" s="580"/>
      <c r="Q16" s="580"/>
      <c r="R16" s="580"/>
      <c r="S16" s="525"/>
    </row>
    <row r="17" spans="2:19" ht="19.5" customHeight="1" x14ac:dyDescent="0.3">
      <c r="D17" s="566" t="s">
        <v>44</v>
      </c>
      <c r="E17" s="839"/>
      <c r="F17" s="845"/>
      <c r="G17" s="581"/>
      <c r="H17" s="569"/>
      <c r="I17" s="569"/>
      <c r="J17" s="579"/>
      <c r="K17" s="579"/>
      <c r="L17" s="579"/>
      <c r="M17" s="580"/>
      <c r="N17" s="580"/>
      <c r="O17" s="580"/>
      <c r="P17" s="580"/>
      <c r="Q17" s="580"/>
      <c r="R17" s="580"/>
      <c r="S17" s="525"/>
    </row>
    <row r="18" spans="2:19" ht="19.5" customHeight="1" x14ac:dyDescent="0.3">
      <c r="D18" s="850" t="s">
        <v>45</v>
      </c>
      <c r="E18" s="582" t="s">
        <v>46</v>
      </c>
      <c r="F18" s="583" t="s">
        <v>47</v>
      </c>
      <c r="G18" s="584">
        <v>5.9859999999999998</v>
      </c>
      <c r="H18" s="584">
        <v>0.18099999999999999</v>
      </c>
      <c r="I18" s="585">
        <v>0.1149</v>
      </c>
      <c r="J18" s="730">
        <v>0.113</v>
      </c>
      <c r="K18" s="730">
        <v>9.3399999999999997E-2</v>
      </c>
      <c r="L18" s="730">
        <v>0.25900000000000001</v>
      </c>
      <c r="M18" s="587">
        <v>0.25069999999999998</v>
      </c>
      <c r="N18" s="587">
        <v>0.28670000000000001</v>
      </c>
      <c r="O18" s="587">
        <v>0.21529999999999999</v>
      </c>
      <c r="P18" s="587">
        <v>0.23400000000000001</v>
      </c>
      <c r="Q18" s="587">
        <v>0.23849999999999999</v>
      </c>
      <c r="R18" s="587">
        <v>0.2482</v>
      </c>
      <c r="S18" s="525"/>
    </row>
    <row r="19" spans="2:19" ht="19.5" customHeight="1" x14ac:dyDescent="0.3">
      <c r="D19" s="850"/>
      <c r="E19" s="835" t="s">
        <v>48</v>
      </c>
      <c r="F19" s="583" t="s">
        <v>47</v>
      </c>
      <c r="G19" s="569"/>
      <c r="H19" s="569"/>
      <c r="I19" s="569"/>
      <c r="J19" s="579"/>
      <c r="K19" s="579"/>
      <c r="L19" s="579"/>
      <c r="M19" s="580"/>
      <c r="N19" s="580"/>
      <c r="O19" s="580"/>
      <c r="P19" s="580"/>
      <c r="Q19" s="580"/>
      <c r="R19" s="580"/>
      <c r="S19" s="525"/>
    </row>
    <row r="20" spans="2:19" ht="19.5" customHeight="1" x14ac:dyDescent="0.3">
      <c r="D20" s="850"/>
      <c r="E20" s="835"/>
      <c r="F20" s="583" t="s">
        <v>49</v>
      </c>
      <c r="G20" s="569"/>
      <c r="H20" s="569"/>
      <c r="I20" s="569"/>
      <c r="J20" s="579"/>
      <c r="K20" s="579"/>
      <c r="L20" s="579"/>
      <c r="M20" s="580"/>
      <c r="N20" s="580"/>
      <c r="O20" s="580"/>
      <c r="P20" s="580"/>
      <c r="Q20" s="580"/>
      <c r="R20" s="580"/>
      <c r="S20" s="525"/>
    </row>
    <row r="21" spans="2:19" ht="19.5" customHeight="1" x14ac:dyDescent="0.3">
      <c r="D21" s="851" t="s">
        <v>50</v>
      </c>
      <c r="E21" s="588" t="s">
        <v>51</v>
      </c>
      <c r="F21" s="583" t="s">
        <v>49</v>
      </c>
      <c r="G21" s="589"/>
      <c r="H21" s="569"/>
      <c r="I21" s="569"/>
      <c r="J21" s="579"/>
      <c r="K21" s="579"/>
      <c r="L21" s="579"/>
      <c r="M21" s="580"/>
      <c r="N21" s="580"/>
      <c r="O21" s="580"/>
      <c r="P21" s="580"/>
      <c r="Q21" s="580"/>
      <c r="R21" s="580"/>
      <c r="S21" s="525"/>
    </row>
    <row r="22" spans="2:19" ht="19.5" customHeight="1" x14ac:dyDescent="0.3">
      <c r="D22" s="852"/>
      <c r="E22" s="854" t="s">
        <v>52</v>
      </c>
      <c r="F22" s="590" t="s">
        <v>49</v>
      </c>
      <c r="G22" s="591">
        <v>3301</v>
      </c>
      <c r="H22" s="592">
        <v>810.33</v>
      </c>
      <c r="I22" s="593">
        <v>734.92</v>
      </c>
      <c r="J22" s="594">
        <v>787.23</v>
      </c>
      <c r="K22" s="594">
        <v>654.91999999999996</v>
      </c>
      <c r="L22" s="594">
        <v>689.77</v>
      </c>
      <c r="M22" s="595">
        <v>683.6</v>
      </c>
      <c r="N22" s="595">
        <v>705.6</v>
      </c>
      <c r="O22" s="595">
        <v>680.92</v>
      </c>
      <c r="P22" s="595">
        <v>724.33</v>
      </c>
      <c r="Q22" s="595">
        <v>543.79</v>
      </c>
      <c r="R22" s="595">
        <v>746.08</v>
      </c>
      <c r="S22" s="525"/>
    </row>
    <row r="23" spans="2:19" ht="19.5" customHeight="1" x14ac:dyDescent="0.3">
      <c r="B23" s="596">
        <v>0.45190000000000002</v>
      </c>
      <c r="D23" s="853"/>
      <c r="E23" s="839"/>
      <c r="F23" s="590" t="s">
        <v>47</v>
      </c>
      <c r="G23" s="597">
        <v>0.3301</v>
      </c>
      <c r="H23" s="598">
        <v>8.1000000000000003E-2</v>
      </c>
      <c r="I23" s="598">
        <f t="shared" ref="I23:Q23" si="0">I22/10000</f>
        <v>7.3492000000000002E-2</v>
      </c>
      <c r="J23" s="598">
        <f t="shared" si="0"/>
        <v>7.8723000000000001E-2</v>
      </c>
      <c r="K23" s="598">
        <f t="shared" si="0"/>
        <v>6.5491999999999995E-2</v>
      </c>
      <c r="L23" s="598">
        <f t="shared" si="0"/>
        <v>6.8976999999999997E-2</v>
      </c>
      <c r="M23" s="598">
        <f t="shared" si="0"/>
        <v>6.8360000000000004E-2</v>
      </c>
      <c r="N23" s="598">
        <f t="shared" si="0"/>
        <v>7.0559999999999998E-2</v>
      </c>
      <c r="O23" s="598">
        <f t="shared" si="0"/>
        <v>6.8092E-2</v>
      </c>
      <c r="P23" s="598">
        <f t="shared" si="0"/>
        <v>7.2432999999999997E-2</v>
      </c>
      <c r="Q23" s="598">
        <f t="shared" si="0"/>
        <v>5.4378999999999997E-2</v>
      </c>
      <c r="R23" s="598">
        <f t="shared" ref="R23" si="1">R22/10000</f>
        <v>7.4608000000000008E-2</v>
      </c>
      <c r="S23" s="525"/>
    </row>
    <row r="24" spans="2:19" ht="19.5" customHeight="1" x14ac:dyDescent="0.3">
      <c r="D24" s="599" t="s">
        <v>53</v>
      </c>
      <c r="E24" s="854" t="s">
        <v>54</v>
      </c>
      <c r="F24" s="843" t="s">
        <v>47</v>
      </c>
      <c r="G24" s="569"/>
      <c r="H24" s="569"/>
      <c r="I24" s="569"/>
      <c r="J24" s="579"/>
      <c r="K24" s="579"/>
      <c r="L24" s="579"/>
      <c r="M24" s="580"/>
      <c r="N24" s="580"/>
      <c r="O24" s="580"/>
      <c r="P24" s="580"/>
      <c r="Q24" s="580"/>
      <c r="R24" s="580"/>
      <c r="S24" s="525"/>
    </row>
    <row r="25" spans="2:19" ht="19.5" customHeight="1" x14ac:dyDescent="0.3">
      <c r="B25" s="600"/>
      <c r="D25" s="566" t="s">
        <v>55</v>
      </c>
      <c r="E25" s="838"/>
      <c r="F25" s="844"/>
      <c r="G25" s="584">
        <v>84.31</v>
      </c>
      <c r="H25" s="601">
        <v>86.73</v>
      </c>
      <c r="I25" s="601">
        <v>86.7</v>
      </c>
      <c r="J25" s="586">
        <v>86.31</v>
      </c>
      <c r="K25" s="586">
        <v>84.06</v>
      </c>
      <c r="L25" s="586">
        <v>84.66</v>
      </c>
      <c r="M25" s="587">
        <v>85.42</v>
      </c>
      <c r="N25" s="587">
        <v>84.56</v>
      </c>
      <c r="O25" s="587">
        <v>84.67</v>
      </c>
      <c r="P25" s="587">
        <v>84.65</v>
      </c>
      <c r="Q25" s="587">
        <v>85.81</v>
      </c>
      <c r="R25" s="587">
        <v>84.46</v>
      </c>
      <c r="S25" s="525"/>
    </row>
    <row r="26" spans="2:19" ht="19.5" customHeight="1" x14ac:dyDescent="0.3">
      <c r="B26" s="600"/>
      <c r="D26" s="566" t="s">
        <v>56</v>
      </c>
      <c r="E26" s="838"/>
      <c r="F26" s="844"/>
      <c r="G26" s="584">
        <v>9.782</v>
      </c>
      <c r="H26" s="601">
        <v>13.23</v>
      </c>
      <c r="I26" s="601">
        <v>13.17</v>
      </c>
      <c r="J26" s="586">
        <v>13.46</v>
      </c>
      <c r="K26" s="586">
        <v>13.55</v>
      </c>
      <c r="L26" s="586">
        <v>13.56</v>
      </c>
      <c r="M26" s="587">
        <v>13.52</v>
      </c>
      <c r="N26" s="587">
        <v>13.55</v>
      </c>
      <c r="O26" s="587">
        <v>13.35</v>
      </c>
      <c r="P26" s="587">
        <v>12.94</v>
      </c>
      <c r="Q26" s="587">
        <v>13.74</v>
      </c>
      <c r="R26" s="587">
        <v>13.48</v>
      </c>
      <c r="S26" s="525"/>
    </row>
    <row r="27" spans="2:19" ht="19.5" customHeight="1" x14ac:dyDescent="0.3">
      <c r="B27" s="600"/>
      <c r="D27" s="566" t="s">
        <v>57</v>
      </c>
      <c r="E27" s="839"/>
      <c r="F27" s="845"/>
      <c r="G27" s="584">
        <v>0.45190000000000002</v>
      </c>
      <c r="H27" s="601">
        <v>8.0879999999999994E-2</v>
      </c>
      <c r="I27" s="601">
        <v>9.3880000000000005E-2</v>
      </c>
      <c r="J27" s="586">
        <v>7.1330000000000005E-2</v>
      </c>
      <c r="K27" s="586">
        <v>0.11700000000000001</v>
      </c>
      <c r="L27" s="586">
        <v>9.2079999999999995E-2</v>
      </c>
      <c r="M27" s="587">
        <v>0.10049</v>
      </c>
      <c r="N27" s="587">
        <v>6.3619999999999996E-2</v>
      </c>
      <c r="O27" s="587">
        <v>6.7309999999999995E-2</v>
      </c>
      <c r="P27" s="587">
        <v>4.6940000000000003E-2</v>
      </c>
      <c r="Q27" s="587">
        <v>5.3969999999999997E-2</v>
      </c>
      <c r="R27" s="587">
        <v>8.906E-2</v>
      </c>
      <c r="S27" s="525"/>
    </row>
    <row r="28" spans="2:19" ht="19.5" customHeight="1" x14ac:dyDescent="0.3">
      <c r="B28" s="600"/>
      <c r="D28" s="602" t="s">
        <v>345</v>
      </c>
      <c r="E28" s="603"/>
      <c r="F28" s="604"/>
      <c r="G28" s="355">
        <f>(G25+G26+G27+G18)</f>
        <v>100.5299</v>
      </c>
      <c r="H28" s="355">
        <f t="shared" ref="H28:N28" si="2">(H25+H26+H27+H18)</f>
        <v>100.22188</v>
      </c>
      <c r="I28" s="355">
        <f t="shared" si="2"/>
        <v>100.07878000000001</v>
      </c>
      <c r="J28" s="355">
        <f t="shared" si="2"/>
        <v>99.954330000000013</v>
      </c>
      <c r="K28" s="355">
        <f t="shared" si="2"/>
        <v>97.820400000000006</v>
      </c>
      <c r="L28" s="355">
        <f>(L25+L26+L27+L18)</f>
        <v>98.571079999999995</v>
      </c>
      <c r="M28" s="355">
        <f t="shared" si="2"/>
        <v>99.291189999999986</v>
      </c>
      <c r="N28" s="355">
        <f t="shared" si="2"/>
        <v>98.460319999999996</v>
      </c>
      <c r="O28" s="355">
        <f t="shared" ref="O28:Q28" si="3">(O25+O26+O27+O18)</f>
        <v>98.302610000000001</v>
      </c>
      <c r="P28" s="355">
        <f t="shared" si="3"/>
        <v>97.870940000000004</v>
      </c>
      <c r="Q28" s="355">
        <f t="shared" si="3"/>
        <v>99.842470000000006</v>
      </c>
      <c r="R28" s="355">
        <f t="shared" ref="R28" si="4">(R25+R26+R27+R18)</f>
        <v>98.277259999999998</v>
      </c>
      <c r="S28" s="525"/>
    </row>
    <row r="29" spans="2:19" ht="19.5" customHeight="1" x14ac:dyDescent="0.3">
      <c r="D29" s="602" t="s">
        <v>346</v>
      </c>
      <c r="E29" s="603"/>
      <c r="F29" s="604"/>
      <c r="G29" s="355">
        <f>(100-G31-G32)/(1+(G26/G25))</f>
        <v>83.974158353580975</v>
      </c>
      <c r="H29" s="355">
        <f t="shared" ref="H29:N29" si="5">(100-H31-H32)/(1+(H26/H25))</f>
        <v>86.537885621735441</v>
      </c>
      <c r="I29" s="355">
        <f t="shared" si="5"/>
        <v>86.649436978774915</v>
      </c>
      <c r="J29" s="355">
        <f t="shared" si="5"/>
        <v>86.343037256916389</v>
      </c>
      <c r="K29" s="355">
        <f>(100-K31-K32)/(1+(K26/K25))</f>
        <v>85.978341711583411</v>
      </c>
      <c r="L29" s="355">
        <f t="shared" si="5"/>
        <v>85.907462370684101</v>
      </c>
      <c r="M29" s="355">
        <f t="shared" si="5"/>
        <v>86.05772524685834</v>
      </c>
      <c r="N29" s="355">
        <f t="shared" si="5"/>
        <v>85.876237742649593</v>
      </c>
      <c r="O29" s="355">
        <f t="shared" ref="O29:Q29" si="6">(100-O31-O32)/(1+(O26/O25))</f>
        <v>86.131308727016659</v>
      </c>
      <c r="P29" s="355">
        <f t="shared" si="6"/>
        <v>86.4688611945774</v>
      </c>
      <c r="Q29" s="355">
        <f t="shared" si="6"/>
        <v>85.945036666889166</v>
      </c>
      <c r="R29" s="355">
        <f t="shared" ref="R29" si="7">(100-R31-R32)/(1+(R26/R25))</f>
        <v>85.953213281316124</v>
      </c>
      <c r="S29" s="525"/>
    </row>
    <row r="30" spans="2:19" ht="19.5" customHeight="1" x14ac:dyDescent="0.3">
      <c r="D30" s="602" t="s">
        <v>347</v>
      </c>
      <c r="E30" s="603"/>
      <c r="F30" s="604" t="s">
        <v>47</v>
      </c>
      <c r="G30" s="355">
        <f>G29*(G26/G25)</f>
        <v>9.7430342428505412</v>
      </c>
      <c r="H30" s="355">
        <f t="shared" ref="H30:N30" si="8">H29*(H26/H25)</f>
        <v>13.200694416874899</v>
      </c>
      <c r="I30" s="355">
        <f t="shared" si="8"/>
        <v>13.162319319613214</v>
      </c>
      <c r="J30" s="355">
        <f t="shared" si="8"/>
        <v>13.465152143182651</v>
      </c>
      <c r="K30" s="355">
        <f t="shared" si="8"/>
        <v>13.859225912347791</v>
      </c>
      <c r="L30" s="355">
        <f>L29*(L26/L25)</f>
        <v>13.759806162845223</v>
      </c>
      <c r="M30" s="355">
        <f t="shared" si="8"/>
        <v>13.62093707957767</v>
      </c>
      <c r="N30" s="355">
        <f t="shared" si="8"/>
        <v>13.760915579622777</v>
      </c>
      <c r="O30" s="355">
        <f t="shared" ref="O30:Q30" si="9">O29*(O26/O25)</f>
        <v>13.580405946683268</v>
      </c>
      <c r="P30" s="355">
        <f t="shared" si="9"/>
        <v>13.218039738426834</v>
      </c>
      <c r="Q30" s="355">
        <f t="shared" si="9"/>
        <v>13.761622232875622</v>
      </c>
      <c r="R30" s="355">
        <f t="shared" ref="R30" si="10">R29*(R26/R25)</f>
        <v>13.718320092731961</v>
      </c>
      <c r="S30" s="525"/>
    </row>
    <row r="31" spans="2:19" ht="19.5" customHeight="1" x14ac:dyDescent="0.3">
      <c r="D31" s="602" t="s">
        <v>348</v>
      </c>
      <c r="E31" s="603"/>
      <c r="F31" s="604"/>
      <c r="G31" s="355">
        <f>G23*100/G28</f>
        <v>0.32836002025268102</v>
      </c>
      <c r="H31" s="355">
        <f>H23*100/H28</f>
        <v>8.0820675086118912E-2</v>
      </c>
      <c r="I31" s="355">
        <f t="shared" ref="I31:N31" si="11">I23*100/I28</f>
        <v>7.3434148577750435E-2</v>
      </c>
      <c r="J31" s="355">
        <f t="shared" si="11"/>
        <v>7.8758969221243327E-2</v>
      </c>
      <c r="K31" s="355">
        <f t="shared" si="11"/>
        <v>6.6951269878266689E-2</v>
      </c>
      <c r="L31" s="355">
        <f t="shared" si="11"/>
        <v>6.997691412126153E-2</v>
      </c>
      <c r="M31" s="355">
        <f t="shared" si="11"/>
        <v>6.8848001519570878E-2</v>
      </c>
      <c r="N31" s="355">
        <f t="shared" si="11"/>
        <v>7.1663386834412077E-2</v>
      </c>
      <c r="O31" s="355">
        <f t="shared" ref="O31:Q31" si="12">O23*100/O28</f>
        <v>6.9267743755735481E-2</v>
      </c>
      <c r="P31" s="355">
        <f t="shared" si="12"/>
        <v>7.4008689402594877E-2</v>
      </c>
      <c r="Q31" s="355">
        <f t="shared" si="12"/>
        <v>5.4464798396914656E-2</v>
      </c>
      <c r="R31" s="355">
        <f t="shared" ref="R31" si="13">R23*100/R28</f>
        <v>7.5915832411282136E-2</v>
      </c>
      <c r="S31" s="525"/>
    </row>
    <row r="32" spans="2:19" ht="19.5" customHeight="1" x14ac:dyDescent="0.3">
      <c r="D32" s="602" t="s">
        <v>349</v>
      </c>
      <c r="E32" s="603"/>
      <c r="F32" s="604"/>
      <c r="G32" s="355">
        <f>G18*100/G28</f>
        <v>5.9544473833158102</v>
      </c>
      <c r="H32" s="355">
        <f t="shared" ref="H32:N32" si="14">H18*100/H28</f>
        <v>0.18059928630354966</v>
      </c>
      <c r="I32" s="355">
        <f t="shared" si="14"/>
        <v>0.11480955303411972</v>
      </c>
      <c r="J32" s="355">
        <f t="shared" si="14"/>
        <v>0.11305163067973142</v>
      </c>
      <c r="K32" s="355">
        <f t="shared" si="14"/>
        <v>9.5481106190528756E-2</v>
      </c>
      <c r="L32" s="355">
        <f>L18*100/L28</f>
        <v>0.26275455234943151</v>
      </c>
      <c r="M32" s="355">
        <f t="shared" si="14"/>
        <v>0.25248967204441802</v>
      </c>
      <c r="N32" s="355">
        <f t="shared" si="14"/>
        <v>0.29118329089322481</v>
      </c>
      <c r="O32" s="355">
        <f t="shared" ref="O32:Q32" si="15">O18*100/O28</f>
        <v>0.2190175825443495</v>
      </c>
      <c r="P32" s="355">
        <f t="shared" si="15"/>
        <v>0.23909037759318549</v>
      </c>
      <c r="Q32" s="355">
        <f t="shared" si="15"/>
        <v>0.23887630183828581</v>
      </c>
      <c r="R32" s="355">
        <f t="shared" ref="R32" si="16">R18*100/R28</f>
        <v>0.25255079354064208</v>
      </c>
      <c r="S32" s="525"/>
    </row>
    <row r="33" spans="4:19" ht="19.5" customHeight="1" x14ac:dyDescent="0.3">
      <c r="D33" s="602" t="s">
        <v>350</v>
      </c>
      <c r="E33" s="603"/>
      <c r="F33" s="604"/>
      <c r="G33" s="943">
        <f>G30/G29</f>
        <v>0.11602419641798126</v>
      </c>
      <c r="H33" s="943">
        <f t="shared" ref="H33:N33" si="17">H30/H29</f>
        <v>0.15254237288135594</v>
      </c>
      <c r="I33" s="943">
        <f t="shared" si="17"/>
        <v>0.15190311418685121</v>
      </c>
      <c r="J33" s="943">
        <f t="shared" si="17"/>
        <v>0.1559494844166377</v>
      </c>
      <c r="K33" s="943">
        <f t="shared" si="17"/>
        <v>0.16119438496312158</v>
      </c>
      <c r="L33" s="943">
        <f t="shared" si="17"/>
        <v>0.16017009213323885</v>
      </c>
      <c r="M33" s="943">
        <f t="shared" si="17"/>
        <v>0.15827675017560289</v>
      </c>
      <c r="N33" s="943">
        <f t="shared" si="17"/>
        <v>0.16024124881740776</v>
      </c>
      <c r="O33" s="943">
        <f t="shared" ref="O33:Q33" si="18">O30/O29</f>
        <v>0.15767095783630564</v>
      </c>
      <c r="P33" s="943">
        <f t="shared" si="18"/>
        <v>0.15286473715298285</v>
      </c>
      <c r="Q33" s="943">
        <f t="shared" si="18"/>
        <v>0.16012119799557162</v>
      </c>
      <c r="R33" s="943">
        <f t="shared" ref="R33" si="19">R30/R29</f>
        <v>0.15960217854605732</v>
      </c>
      <c r="S33" s="525"/>
    </row>
    <row r="34" spans="4:19" ht="19.5" hidden="1" customHeight="1" x14ac:dyDescent="0.3">
      <c r="D34" s="605" t="s">
        <v>216</v>
      </c>
      <c r="E34" s="567"/>
      <c r="F34" s="568"/>
      <c r="G34" s="606">
        <f>G25*100/G28</f>
        <v>83.86559620570597</v>
      </c>
      <c r="H34" s="606">
        <f t="shared" ref="H34:N34" si="20">H25*100/H28</f>
        <v>86.5379895088777</v>
      </c>
      <c r="I34" s="606">
        <f t="shared" si="20"/>
        <v>86.63175150616344</v>
      </c>
      <c r="J34" s="606">
        <f t="shared" si="20"/>
        <v>86.349435787324055</v>
      </c>
      <c r="K34" s="606">
        <f t="shared" si="20"/>
        <v>85.932995571475885</v>
      </c>
      <c r="L34" s="606">
        <f>L25*100/L28</f>
        <v>85.887260239007233</v>
      </c>
      <c r="M34" s="606">
        <f t="shared" si="20"/>
        <v>86.029787738469054</v>
      </c>
      <c r="N34" s="606">
        <f t="shared" si="20"/>
        <v>85.882312793620827</v>
      </c>
      <c r="O34" s="606">
        <f t="shared" ref="O34:Q34" si="21">O25*100/O28</f>
        <v>86.131995884951579</v>
      </c>
      <c r="P34" s="606">
        <f t="shared" si="21"/>
        <v>86.491454971210047</v>
      </c>
      <c r="Q34" s="606">
        <f t="shared" si="21"/>
        <v>85.945389772508634</v>
      </c>
      <c r="R34" s="606">
        <f t="shared" ref="R34" si="22">R25*100/R28</f>
        <v>85.940531919591578</v>
      </c>
      <c r="S34" s="525"/>
    </row>
    <row r="35" spans="4:19" ht="19.5" hidden="1" customHeight="1" x14ac:dyDescent="0.3">
      <c r="D35" s="605" t="s">
        <v>217</v>
      </c>
      <c r="E35" s="567"/>
      <c r="F35" s="568"/>
      <c r="G35" s="606">
        <f>G26*100/G28</f>
        <v>9.7304384068819338</v>
      </c>
      <c r="H35" s="606">
        <f t="shared" ref="H35:N35" si="23">H26*100/H28</f>
        <v>13.200710264066091</v>
      </c>
      <c r="I35" s="606">
        <f t="shared" si="23"/>
        <v>13.159632841247664</v>
      </c>
      <c r="J35" s="606">
        <f t="shared" si="23"/>
        <v>13.466149990700751</v>
      </c>
      <c r="K35" s="606">
        <f t="shared" si="23"/>
        <v>13.851916369182705</v>
      </c>
      <c r="L35" s="606">
        <f t="shared" si="23"/>
        <v>13.756570385553248</v>
      </c>
      <c r="M35" s="606">
        <f t="shared" si="23"/>
        <v>13.616515221541812</v>
      </c>
      <c r="N35" s="606">
        <f t="shared" si="23"/>
        <v>13.761889053377036</v>
      </c>
      <c r="O35" s="606">
        <f t="shared" ref="O35:Q35" si="24">O26*100/O28</f>
        <v>13.580514291533053</v>
      </c>
      <c r="P35" s="606">
        <f t="shared" si="24"/>
        <v>13.221493530153076</v>
      </c>
      <c r="Q35" s="606">
        <f t="shared" si="24"/>
        <v>13.761678772570429</v>
      </c>
      <c r="R35" s="606">
        <f t="shared" ref="R35" si="25">R26*100/R28</f>
        <v>13.716296119773791</v>
      </c>
      <c r="S35" s="525"/>
    </row>
    <row r="36" spans="4:19" ht="19.5" hidden="1" customHeight="1" x14ac:dyDescent="0.3">
      <c r="D36" s="605" t="s">
        <v>351</v>
      </c>
      <c r="E36" s="567"/>
      <c r="F36" s="568"/>
      <c r="G36" s="606">
        <f>G27*100/G28</f>
        <v>0.44951800409629378</v>
      </c>
      <c r="H36" s="606">
        <f t="shared" ref="H36:N36" si="26">H27*100/H28</f>
        <v>8.070094075265799E-2</v>
      </c>
      <c r="I36" s="606">
        <f t="shared" si="26"/>
        <v>9.3806099554770747E-2</v>
      </c>
      <c r="J36" s="606">
        <f t="shared" si="26"/>
        <v>7.136259129544463E-2</v>
      </c>
      <c r="K36" s="606">
        <f t="shared" si="26"/>
        <v>0.11960695315087651</v>
      </c>
      <c r="L36" s="606">
        <f t="shared" si="26"/>
        <v>9.3414823090099047E-2</v>
      </c>
      <c r="M36" s="606">
        <f t="shared" si="26"/>
        <v>0.10120736794472904</v>
      </c>
      <c r="N36" s="606">
        <f t="shared" si="26"/>
        <v>6.4614862108918591E-2</v>
      </c>
      <c r="O36" s="606">
        <f t="shared" ref="O36:Q36" si="27">O27*100/O28</f>
        <v>6.8472240971017964E-2</v>
      </c>
      <c r="P36" s="606">
        <f t="shared" si="27"/>
        <v>4.7961121043692843E-2</v>
      </c>
      <c r="Q36" s="606">
        <f t="shared" si="27"/>
        <v>5.4055153082651089E-2</v>
      </c>
      <c r="R36" s="606">
        <f t="shared" ref="R36" si="28">R27*100/R28</f>
        <v>9.0621167093995092E-2</v>
      </c>
      <c r="S36" s="525"/>
    </row>
    <row r="37" spans="4:19" ht="19.5" hidden="1" customHeight="1" x14ac:dyDescent="0.3">
      <c r="D37" s="605" t="s">
        <v>352</v>
      </c>
      <c r="E37" s="567"/>
      <c r="F37" s="568"/>
      <c r="G37" s="606">
        <f>G18*100/G28</f>
        <v>5.9544473833158102</v>
      </c>
      <c r="H37" s="606">
        <f t="shared" ref="H37:N37" si="29">H18*100/H28</f>
        <v>0.18059928630354966</v>
      </c>
      <c r="I37" s="606">
        <f t="shared" si="29"/>
        <v>0.11480955303411972</v>
      </c>
      <c r="J37" s="606">
        <f t="shared" si="29"/>
        <v>0.11305163067973142</v>
      </c>
      <c r="K37" s="606">
        <f t="shared" si="29"/>
        <v>9.5481106190528756E-2</v>
      </c>
      <c r="L37" s="606">
        <f t="shared" si="29"/>
        <v>0.26275455234943151</v>
      </c>
      <c r="M37" s="606">
        <f t="shared" si="29"/>
        <v>0.25248967204441802</v>
      </c>
      <c r="N37" s="606">
        <f t="shared" si="29"/>
        <v>0.29118329089322481</v>
      </c>
      <c r="O37" s="606">
        <f t="shared" ref="O37:Q37" si="30">O18*100/O28</f>
        <v>0.2190175825443495</v>
      </c>
      <c r="P37" s="606">
        <f t="shared" si="30"/>
        <v>0.23909037759318549</v>
      </c>
      <c r="Q37" s="606">
        <f t="shared" si="30"/>
        <v>0.23887630183828581</v>
      </c>
      <c r="R37" s="606">
        <f t="shared" ref="R37" si="31">R18*100/R28</f>
        <v>0.25255079354064208</v>
      </c>
      <c r="S37" s="525"/>
    </row>
    <row r="38" spans="4:19" ht="19.5" hidden="1" customHeight="1" x14ac:dyDescent="0.3">
      <c r="D38" s="605" t="s">
        <v>218</v>
      </c>
      <c r="E38" s="567"/>
      <c r="F38" s="568"/>
      <c r="G38" s="606">
        <f>G35/G34</f>
        <v>0.11602419641798127</v>
      </c>
      <c r="H38" s="606">
        <f t="shared" ref="H38:N38" si="32">H35/H34</f>
        <v>0.15254237288135594</v>
      </c>
      <c r="I38" s="606">
        <f t="shared" si="32"/>
        <v>0.15190311418685121</v>
      </c>
      <c r="J38" s="606">
        <f t="shared" si="32"/>
        <v>0.15594948441663772</v>
      </c>
      <c r="K38" s="606">
        <f t="shared" si="32"/>
        <v>0.16119438496312158</v>
      </c>
      <c r="L38" s="606">
        <f t="shared" si="32"/>
        <v>0.16017009213323882</v>
      </c>
      <c r="M38" s="606">
        <f t="shared" si="32"/>
        <v>0.15827675017560291</v>
      </c>
      <c r="N38" s="606">
        <f t="shared" si="32"/>
        <v>0.16024124881740776</v>
      </c>
      <c r="O38" s="606">
        <f t="shared" ref="O38:Q38" si="33">O35/O34</f>
        <v>0.15767095783630566</v>
      </c>
      <c r="P38" s="606">
        <f t="shared" si="33"/>
        <v>0.15286473715298285</v>
      </c>
      <c r="Q38" s="606">
        <f t="shared" si="33"/>
        <v>0.16012119799557159</v>
      </c>
      <c r="R38" s="606">
        <f t="shared" ref="R38" si="34">R35/R34</f>
        <v>0.15960217854605729</v>
      </c>
      <c r="S38" s="525"/>
    </row>
    <row r="39" spans="4:19" ht="19.5" customHeight="1" x14ac:dyDescent="0.3">
      <c r="D39" s="599" t="s">
        <v>68</v>
      </c>
      <c r="E39" s="846" t="s">
        <v>69</v>
      </c>
      <c r="F39" s="843" t="s">
        <v>70</v>
      </c>
      <c r="G39" s="569"/>
      <c r="H39" s="569"/>
      <c r="I39" s="569"/>
      <c r="J39" s="579"/>
      <c r="K39" s="579"/>
      <c r="L39" s="579"/>
      <c r="M39" s="580"/>
      <c r="N39" s="580"/>
      <c r="O39" s="580"/>
      <c r="P39" s="580"/>
      <c r="Q39" s="580"/>
      <c r="R39" s="580"/>
      <c r="S39" s="525"/>
    </row>
    <row r="40" spans="4:19" ht="19.5" customHeight="1" x14ac:dyDescent="0.3">
      <c r="D40" s="607" t="s">
        <v>71</v>
      </c>
      <c r="E40" s="849"/>
      <c r="F40" s="844"/>
      <c r="G40" s="608">
        <v>376</v>
      </c>
      <c r="H40" s="944">
        <v>55.1</v>
      </c>
      <c r="I40" s="608">
        <f>'MEBU HPS LTO DAILY Graph'!E123</f>
        <v>36.799999999999997</v>
      </c>
      <c r="J40" s="608">
        <f>'MEBU HPS LTO DAILY Graph'!F123</f>
        <v>36.5</v>
      </c>
      <c r="K40" s="608">
        <f>'MEBU HPS LTO DAILY Graph'!G123</f>
        <v>11.3</v>
      </c>
      <c r="L40" s="608">
        <f>'MEBU HPS LTO DAILY Graph'!H123</f>
        <v>11.1</v>
      </c>
      <c r="M40" s="608">
        <f>'MEBU HPS LTO DAILY Graph'!I123</f>
        <v>11.5</v>
      </c>
      <c r="N40" s="608">
        <f>'MEBU HPS LTO DAILY Graph'!J123</f>
        <v>11.2</v>
      </c>
      <c r="O40" s="608">
        <f>'MEBU HPS LTO DAILY Graph'!K123</f>
        <v>11.7</v>
      </c>
      <c r="P40" s="608">
        <f>'MEBU HPS LTO DAILY Graph'!L123</f>
        <v>11.3</v>
      </c>
      <c r="Q40" s="608">
        <f>'MEBU HPS LTO DAILY Graph'!M123</f>
        <v>11.2</v>
      </c>
      <c r="R40" s="608">
        <f>'MEBU HPS LTO DAILY Graph'!N123</f>
        <v>11.4</v>
      </c>
      <c r="S40" s="525"/>
    </row>
    <row r="41" spans="4:19" ht="19.5" customHeight="1" x14ac:dyDescent="0.3">
      <c r="D41" s="607">
        <v>5</v>
      </c>
      <c r="E41" s="849"/>
      <c r="F41" s="844"/>
      <c r="G41" s="608">
        <v>510</v>
      </c>
      <c r="H41" s="944">
        <v>103</v>
      </c>
      <c r="I41" s="608">
        <f>'MEBU HPS LTO DAILY Graph'!E128</f>
        <v>102.9</v>
      </c>
      <c r="J41" s="608">
        <f>'MEBU HPS LTO DAILY Graph'!F128</f>
        <v>99</v>
      </c>
      <c r="K41" s="608">
        <f>'MEBU HPS LTO DAILY Graph'!G128</f>
        <v>57.2</v>
      </c>
      <c r="L41" s="608">
        <f>'MEBU HPS LTO DAILY Graph'!H128</f>
        <v>56.6</v>
      </c>
      <c r="M41" s="608">
        <f>'MEBU HPS LTO DAILY Graph'!I128</f>
        <v>57.4</v>
      </c>
      <c r="N41" s="608">
        <f>'MEBU HPS LTO DAILY Graph'!J128</f>
        <v>55.9</v>
      </c>
      <c r="O41" s="608">
        <f>'MEBU HPS LTO DAILY Graph'!K128</f>
        <v>58</v>
      </c>
      <c r="P41" s="608">
        <f>'MEBU HPS LTO DAILY Graph'!L128</f>
        <v>56.6</v>
      </c>
      <c r="Q41" s="608">
        <f>'MEBU HPS LTO DAILY Graph'!M128</f>
        <v>56.3</v>
      </c>
      <c r="R41" s="608">
        <f>'MEBU HPS LTO DAILY Graph'!N128</f>
        <v>57.3</v>
      </c>
      <c r="S41" s="525"/>
    </row>
    <row r="42" spans="4:19" ht="19.5" customHeight="1" x14ac:dyDescent="0.3">
      <c r="D42" s="607">
        <v>10</v>
      </c>
      <c r="E42" s="849"/>
      <c r="F42" s="844"/>
      <c r="G42" s="608">
        <v>543.5</v>
      </c>
      <c r="H42" s="944">
        <v>127.7</v>
      </c>
      <c r="I42" s="608">
        <f>'MEBU HPS LTO DAILY Graph'!E133</f>
        <v>127.6</v>
      </c>
      <c r="J42" s="608">
        <f>'MEBU HPS LTO DAILY Graph'!F133</f>
        <v>124</v>
      </c>
      <c r="K42" s="608">
        <f>'MEBU HPS LTO DAILY Graph'!G133</f>
        <v>83.6</v>
      </c>
      <c r="L42" s="608">
        <f>'MEBU HPS LTO DAILY Graph'!H133</f>
        <v>75.7</v>
      </c>
      <c r="M42" s="608">
        <f>'MEBU HPS LTO DAILY Graph'!I133</f>
        <v>77.5</v>
      </c>
      <c r="N42" s="608">
        <f>'MEBU HPS LTO DAILY Graph'!J133</f>
        <v>75.8</v>
      </c>
      <c r="O42" s="608">
        <f>'MEBU HPS LTO DAILY Graph'!K133</f>
        <v>84.6</v>
      </c>
      <c r="P42" s="608">
        <f>'MEBU HPS LTO DAILY Graph'!L133</f>
        <v>75.599999999999994</v>
      </c>
      <c r="Q42" s="608">
        <f>'MEBU HPS LTO DAILY Graph'!M133</f>
        <v>75.400000000000006</v>
      </c>
      <c r="R42" s="608">
        <f>'MEBU HPS LTO DAILY Graph'!N133</f>
        <v>76.2</v>
      </c>
      <c r="S42" s="525"/>
    </row>
    <row r="43" spans="4:19" ht="19.5" customHeight="1" x14ac:dyDescent="0.3">
      <c r="D43" s="607">
        <v>20</v>
      </c>
      <c r="E43" s="849"/>
      <c r="F43" s="844"/>
      <c r="G43" s="608">
        <v>578</v>
      </c>
      <c r="H43" s="944">
        <v>160.6</v>
      </c>
      <c r="I43" s="608">
        <f>'MEBU HPS LTO DAILY Graph'!E143</f>
        <v>157.30000000000001</v>
      </c>
      <c r="J43" s="608">
        <f>'MEBU HPS LTO DAILY Graph'!F143</f>
        <v>152.9</v>
      </c>
      <c r="K43" s="608">
        <f>'MEBU HPS LTO DAILY Graph'!G143</f>
        <v>118</v>
      </c>
      <c r="L43" s="608">
        <f>'MEBU HPS LTO DAILY Graph'!H143</f>
        <v>117.5</v>
      </c>
      <c r="M43" s="608">
        <f>'MEBU HPS LTO DAILY Graph'!I143</f>
        <v>118.5</v>
      </c>
      <c r="N43" s="608">
        <f>'MEBU HPS LTO DAILY Graph'!J143</f>
        <v>118.1</v>
      </c>
      <c r="O43" s="608">
        <f>'MEBU HPS LTO DAILY Graph'!K143</f>
        <v>118.8</v>
      </c>
      <c r="P43" s="608">
        <f>'MEBU HPS LTO DAILY Graph'!L143</f>
        <v>117.6</v>
      </c>
      <c r="Q43" s="608">
        <f>'MEBU HPS LTO DAILY Graph'!M143</f>
        <v>117.4</v>
      </c>
      <c r="R43" s="608">
        <f>'MEBU HPS LTO DAILY Graph'!N143</f>
        <v>118.3</v>
      </c>
      <c r="S43" s="525"/>
    </row>
    <row r="44" spans="4:19" ht="19.5" customHeight="1" x14ac:dyDescent="0.3">
      <c r="D44" s="607">
        <v>30</v>
      </c>
      <c r="E44" s="849"/>
      <c r="F44" s="844"/>
      <c r="G44" s="608">
        <v>606</v>
      </c>
      <c r="H44" s="944">
        <v>178.2</v>
      </c>
      <c r="I44" s="608">
        <f>'MEBU HPS LTO DAILY Graph'!E153</f>
        <v>178.4</v>
      </c>
      <c r="J44" s="608">
        <f>'MEBU HPS LTO DAILY Graph'!F153</f>
        <v>176.4</v>
      </c>
      <c r="K44" s="608">
        <f>'MEBU HPS LTO DAILY Graph'!G153</f>
        <v>145.9</v>
      </c>
      <c r="L44" s="608">
        <f>'MEBU HPS LTO DAILY Graph'!H153</f>
        <v>145.30000000000001</v>
      </c>
      <c r="M44" s="608">
        <f>'MEBU HPS LTO DAILY Graph'!I153</f>
        <v>146.30000000000001</v>
      </c>
      <c r="N44" s="608">
        <f>'MEBU HPS LTO DAILY Graph'!J153</f>
        <v>145.6</v>
      </c>
      <c r="O44" s="608">
        <f>'MEBU HPS LTO DAILY Graph'!K153</f>
        <v>147.30000000000001</v>
      </c>
      <c r="P44" s="608">
        <f>'MEBU HPS LTO DAILY Graph'!L153</f>
        <v>145.80000000000001</v>
      </c>
      <c r="Q44" s="608">
        <f>'MEBU HPS LTO DAILY Graph'!M153</f>
        <v>145.1</v>
      </c>
      <c r="R44" s="608">
        <f>'MEBU HPS LTO DAILY Graph'!N153</f>
        <v>145.80000000000001</v>
      </c>
      <c r="S44" s="525"/>
    </row>
    <row r="45" spans="4:19" ht="19.5" customHeight="1" x14ac:dyDescent="0.3">
      <c r="D45" s="607">
        <v>40</v>
      </c>
      <c r="E45" s="849"/>
      <c r="F45" s="844"/>
      <c r="G45" s="608">
        <v>635</v>
      </c>
      <c r="H45" s="944">
        <v>201.1</v>
      </c>
      <c r="I45" s="608">
        <f>'MEBU HPS LTO DAILY Graph'!E163</f>
        <v>199.6</v>
      </c>
      <c r="J45" s="608">
        <f>'MEBU HPS LTO DAILY Graph'!F163</f>
        <v>198.1</v>
      </c>
      <c r="K45" s="608">
        <f>'MEBU HPS LTO DAILY Graph'!G163</f>
        <v>171.7</v>
      </c>
      <c r="L45" s="608">
        <f>'MEBU HPS LTO DAILY Graph'!H163</f>
        <v>171.5</v>
      </c>
      <c r="M45" s="608">
        <f>'MEBU HPS LTO DAILY Graph'!I163</f>
        <v>171.9</v>
      </c>
      <c r="N45" s="608">
        <f>'MEBU HPS LTO DAILY Graph'!J163</f>
        <v>170.9</v>
      </c>
      <c r="O45" s="608">
        <f>'MEBU HPS LTO DAILY Graph'!K163</f>
        <v>172.9</v>
      </c>
      <c r="P45" s="608">
        <f>'MEBU HPS LTO DAILY Graph'!L163</f>
        <v>171</v>
      </c>
      <c r="Q45" s="608">
        <f>'MEBU HPS LTO DAILY Graph'!M163</f>
        <v>170.2</v>
      </c>
      <c r="R45" s="608">
        <f>'MEBU HPS LTO DAILY Graph'!N163</f>
        <v>170.6</v>
      </c>
      <c r="S45" s="525"/>
    </row>
    <row r="46" spans="4:19" ht="19.5" customHeight="1" x14ac:dyDescent="0.3">
      <c r="D46" s="607">
        <v>50</v>
      </c>
      <c r="E46" s="849"/>
      <c r="F46" s="844"/>
      <c r="G46" s="608">
        <v>667</v>
      </c>
      <c r="H46" s="944">
        <v>223.9</v>
      </c>
      <c r="I46" s="608">
        <f>'MEBU HPS LTO DAILY Graph'!E173</f>
        <v>219.3</v>
      </c>
      <c r="J46" s="608">
        <f>'MEBU HPS LTO DAILY Graph'!F173</f>
        <v>217.8</v>
      </c>
      <c r="K46" s="608">
        <f>'MEBU HPS LTO DAILY Graph'!G173</f>
        <v>198.6</v>
      </c>
      <c r="L46" s="608">
        <f>'MEBU HPS LTO DAILY Graph'!H173</f>
        <v>197.3</v>
      </c>
      <c r="M46" s="608">
        <f>'MEBU HPS LTO DAILY Graph'!I173</f>
        <v>197</v>
      </c>
      <c r="N46" s="608">
        <f>'MEBU HPS LTO DAILY Graph'!J173</f>
        <v>196.2</v>
      </c>
      <c r="O46" s="608">
        <f>'MEBU HPS LTO DAILY Graph'!K173</f>
        <v>198.1</v>
      </c>
      <c r="P46" s="608">
        <f>'MEBU HPS LTO DAILY Graph'!L173</f>
        <v>196.1</v>
      </c>
      <c r="Q46" s="608">
        <f>'MEBU HPS LTO DAILY Graph'!M173</f>
        <v>195.9</v>
      </c>
      <c r="R46" s="608">
        <f>'MEBU HPS LTO DAILY Graph'!N173</f>
        <v>196</v>
      </c>
      <c r="S46" s="525"/>
    </row>
    <row r="47" spans="4:19" ht="19.5" customHeight="1" x14ac:dyDescent="0.3">
      <c r="D47" s="607">
        <v>60</v>
      </c>
      <c r="E47" s="849"/>
      <c r="F47" s="844"/>
      <c r="G47" s="608">
        <v>705</v>
      </c>
      <c r="H47" s="944">
        <v>249.4</v>
      </c>
      <c r="I47" s="608">
        <f>'MEBU HPS LTO DAILY Graph'!E183</f>
        <v>241</v>
      </c>
      <c r="J47" s="608">
        <f>'MEBU HPS LTO DAILY Graph'!F183</f>
        <v>238.4</v>
      </c>
      <c r="K47" s="608">
        <f>'MEBU HPS LTO DAILY Graph'!G183</f>
        <v>221.4</v>
      </c>
      <c r="L47" s="608">
        <f>'MEBU HPS LTO DAILY Graph'!H183</f>
        <v>219.8</v>
      </c>
      <c r="M47" s="608">
        <f>'MEBU HPS LTO DAILY Graph'!I183</f>
        <v>219.3</v>
      </c>
      <c r="N47" s="608">
        <f>'MEBU HPS LTO DAILY Graph'!J183</f>
        <v>218.5</v>
      </c>
      <c r="O47" s="608">
        <f>'MEBU HPS LTO DAILY Graph'!K183</f>
        <v>220.6</v>
      </c>
      <c r="P47" s="608">
        <f>'MEBU HPS LTO DAILY Graph'!L183</f>
        <v>218.4</v>
      </c>
      <c r="Q47" s="608">
        <f>'MEBU HPS LTO DAILY Graph'!M183</f>
        <v>218.7</v>
      </c>
      <c r="R47" s="608">
        <f>'MEBU HPS LTO DAILY Graph'!N183</f>
        <v>218.8</v>
      </c>
      <c r="S47" s="525"/>
    </row>
    <row r="48" spans="4:19" ht="19.5" customHeight="1" x14ac:dyDescent="0.3">
      <c r="D48" s="607">
        <v>70</v>
      </c>
      <c r="E48" s="849"/>
      <c r="F48" s="844"/>
      <c r="G48" s="569"/>
      <c r="H48" s="945">
        <v>275.8</v>
      </c>
      <c r="I48" s="584">
        <f>'MEBU HPS LTO DAILY Graph'!E193</f>
        <v>267.2</v>
      </c>
      <c r="J48" s="584">
        <f>'MEBU HPS LTO DAILY Graph'!F193</f>
        <v>265.60000000000002</v>
      </c>
      <c r="K48" s="584">
        <f>'MEBU HPS LTO DAILY Graph'!G193</f>
        <v>249.8</v>
      </c>
      <c r="L48" s="584">
        <f>'MEBU HPS LTO DAILY Graph'!H193</f>
        <v>248.7</v>
      </c>
      <c r="M48" s="584">
        <f>'MEBU HPS LTO DAILY Graph'!I193</f>
        <v>248.3</v>
      </c>
      <c r="N48" s="584">
        <f>'MEBU HPS LTO DAILY Graph'!J193</f>
        <v>247.6</v>
      </c>
      <c r="O48" s="584">
        <f>'MEBU HPS LTO DAILY Graph'!K193</f>
        <v>249.3</v>
      </c>
      <c r="P48" s="584">
        <f>'MEBU HPS LTO DAILY Graph'!L193</f>
        <v>247.1</v>
      </c>
      <c r="Q48" s="584">
        <f>'MEBU HPS LTO DAILY Graph'!M193</f>
        <v>247.1</v>
      </c>
      <c r="R48" s="584">
        <f>'MEBU HPS LTO DAILY Graph'!N193</f>
        <v>247.1</v>
      </c>
      <c r="S48" s="525"/>
    </row>
    <row r="49" spans="4:19" ht="19.5" customHeight="1" x14ac:dyDescent="0.3">
      <c r="D49" s="607">
        <v>80</v>
      </c>
      <c r="E49" s="849"/>
      <c r="F49" s="844"/>
      <c r="G49" s="569"/>
      <c r="H49" s="945">
        <v>310.10000000000002</v>
      </c>
      <c r="I49" s="584">
        <f>'MEBU HPS LTO DAILY Graph'!E203</f>
        <v>298.3</v>
      </c>
      <c r="J49" s="584">
        <f>'MEBU HPS LTO DAILY Graph'!F203</f>
        <v>296.89999999999998</v>
      </c>
      <c r="K49" s="584">
        <f>'MEBU HPS LTO DAILY Graph'!G203</f>
        <v>283.2</v>
      </c>
      <c r="L49" s="584">
        <f>'MEBU HPS LTO DAILY Graph'!H203</f>
        <v>282.2</v>
      </c>
      <c r="M49" s="584">
        <f>'MEBU HPS LTO DAILY Graph'!I203</f>
        <v>282</v>
      </c>
      <c r="N49" s="584">
        <f>'MEBU HPS LTO DAILY Graph'!J203</f>
        <v>281.39999999999998</v>
      </c>
      <c r="O49" s="584">
        <f>'MEBU HPS LTO DAILY Graph'!K203</f>
        <v>282.7</v>
      </c>
      <c r="P49" s="584">
        <f>'MEBU HPS LTO DAILY Graph'!L203</f>
        <v>280.8</v>
      </c>
      <c r="Q49" s="584">
        <f>'MEBU HPS LTO DAILY Graph'!M203</f>
        <v>280.39999999999998</v>
      </c>
      <c r="R49" s="584">
        <f>'MEBU HPS LTO DAILY Graph'!N203</f>
        <v>280.39999999999998</v>
      </c>
      <c r="S49" s="525"/>
    </row>
    <row r="50" spans="4:19" ht="19.5" customHeight="1" x14ac:dyDescent="0.3">
      <c r="D50" s="607">
        <v>90</v>
      </c>
      <c r="E50" s="849"/>
      <c r="F50" s="844"/>
      <c r="G50" s="569"/>
      <c r="H50" s="945">
        <v>358.4</v>
      </c>
      <c r="I50" s="584">
        <f>'MEBU HPS LTO DAILY Graph'!E213</f>
        <v>342.1</v>
      </c>
      <c r="J50" s="584">
        <f>'MEBU HPS LTO DAILY Graph'!F213</f>
        <v>340.9</v>
      </c>
      <c r="K50" s="584">
        <f>'MEBU HPS LTO DAILY Graph'!G213</f>
        <v>329.8</v>
      </c>
      <c r="L50" s="584">
        <f>'MEBU HPS LTO DAILY Graph'!H213</f>
        <v>328.4</v>
      </c>
      <c r="M50" s="584">
        <f>'MEBU HPS LTO DAILY Graph'!I213</f>
        <v>328.6</v>
      </c>
      <c r="N50" s="584">
        <f>'MEBU HPS LTO DAILY Graph'!J213</f>
        <v>327.9</v>
      </c>
      <c r="O50" s="584">
        <f>'MEBU HPS LTO DAILY Graph'!K213</f>
        <v>328.9</v>
      </c>
      <c r="P50" s="584">
        <f>'MEBU HPS LTO DAILY Graph'!L213</f>
        <v>327.10000000000002</v>
      </c>
      <c r="Q50" s="584">
        <f>'MEBU HPS LTO DAILY Graph'!M213</f>
        <v>326.39999999999998</v>
      </c>
      <c r="R50" s="584">
        <f>'MEBU HPS LTO DAILY Graph'!N213</f>
        <v>326.5</v>
      </c>
      <c r="S50" s="525"/>
    </row>
    <row r="51" spans="4:19" ht="19.5" customHeight="1" x14ac:dyDescent="0.3">
      <c r="D51" s="607">
        <v>95</v>
      </c>
      <c r="E51" s="849"/>
      <c r="F51" s="844"/>
      <c r="G51" s="569"/>
      <c r="H51" s="945">
        <v>398.8</v>
      </c>
      <c r="I51" s="584">
        <f>'MEBU HPS LTO DAILY Graph'!E218</f>
        <v>377.7</v>
      </c>
      <c r="J51" s="584">
        <f>'MEBU HPS LTO DAILY Graph'!F218</f>
        <v>376.8</v>
      </c>
      <c r="K51" s="584">
        <f>'MEBU HPS LTO DAILY Graph'!G218</f>
        <v>367.9</v>
      </c>
      <c r="L51" s="584">
        <f>'MEBU HPS LTO DAILY Graph'!H218</f>
        <v>366.3</v>
      </c>
      <c r="M51" s="584">
        <f>'MEBU HPS LTO DAILY Graph'!I218</f>
        <v>366.9</v>
      </c>
      <c r="N51" s="584">
        <f>'MEBU HPS LTO DAILY Graph'!J218</f>
        <v>366.2</v>
      </c>
      <c r="O51" s="584">
        <f>'MEBU HPS LTO DAILY Graph'!K218</f>
        <v>366.5</v>
      </c>
      <c r="P51" s="584">
        <f>'MEBU HPS LTO DAILY Graph'!L218</f>
        <v>365.2</v>
      </c>
      <c r="Q51" s="584">
        <f>'MEBU HPS LTO DAILY Graph'!M218</f>
        <v>364.4</v>
      </c>
      <c r="R51" s="584">
        <f>'MEBU HPS LTO DAILY Graph'!N218</f>
        <v>364.8</v>
      </c>
      <c r="S51" s="525"/>
    </row>
    <row r="52" spans="4:19" ht="19.5" customHeight="1" thickBot="1" x14ac:dyDescent="0.35">
      <c r="D52" s="607" t="s">
        <v>72</v>
      </c>
      <c r="E52" s="613" t="s">
        <v>65</v>
      </c>
      <c r="F52" s="845"/>
      <c r="G52" s="614" t="s">
        <v>353</v>
      </c>
      <c r="H52" s="946">
        <v>494.8</v>
      </c>
      <c r="I52" s="615">
        <f>'MEBU HPS LTO DAILY Graph'!E223</f>
        <v>460.2</v>
      </c>
      <c r="J52" s="615">
        <f>'MEBU HPS LTO DAILY Graph'!F223</f>
        <v>459.7</v>
      </c>
      <c r="K52" s="615">
        <f>'MEBU HPS LTO DAILY Graph'!G223</f>
        <v>455</v>
      </c>
      <c r="L52" s="615">
        <f>'MEBU HPS LTO DAILY Graph'!H223</f>
        <v>450.2</v>
      </c>
      <c r="M52" s="615">
        <f>'MEBU HPS LTO DAILY Graph'!I223</f>
        <v>452.5</v>
      </c>
      <c r="N52" s="615">
        <f>'MEBU HPS LTO DAILY Graph'!J223</f>
        <v>450.7</v>
      </c>
      <c r="O52" s="615">
        <f>'MEBU HPS LTO DAILY Graph'!K223</f>
        <v>450.9</v>
      </c>
      <c r="P52" s="615">
        <f>'MEBU HPS LTO DAILY Graph'!L223</f>
        <v>449.2</v>
      </c>
      <c r="Q52" s="615">
        <f>'MEBU HPS LTO DAILY Graph'!M223</f>
        <v>447.6</v>
      </c>
      <c r="R52" s="615">
        <f>'MEBU HPS LTO DAILY Graph'!N223</f>
        <v>450.2</v>
      </c>
      <c r="S52" s="525"/>
    </row>
    <row r="53" spans="4:19" ht="19.5" customHeight="1" x14ac:dyDescent="0.3">
      <c r="D53" s="616" t="s">
        <v>354</v>
      </c>
      <c r="E53" s="617"/>
      <c r="F53" s="618"/>
      <c r="G53" s="619"/>
      <c r="H53" s="619"/>
      <c r="I53" s="619"/>
      <c r="J53" s="620"/>
      <c r="K53" s="620"/>
      <c r="L53" s="620"/>
      <c r="M53" s="620"/>
      <c r="N53" s="620"/>
      <c r="O53" s="620"/>
      <c r="P53" s="620"/>
      <c r="Q53" s="620"/>
      <c r="R53" s="620"/>
      <c r="S53" s="525"/>
    </row>
    <row r="54" spans="4:19" ht="19.5" customHeight="1" x14ac:dyDescent="0.3">
      <c r="D54" s="621" t="s">
        <v>187</v>
      </c>
      <c r="E54" s="829" t="s">
        <v>69</v>
      </c>
      <c r="F54" s="832" t="s">
        <v>47</v>
      </c>
      <c r="G54" s="622">
        <v>0</v>
      </c>
      <c r="H54" s="394">
        <v>2.5</v>
      </c>
      <c r="I54" s="394">
        <v>2.5</v>
      </c>
      <c r="J54" s="623">
        <v>3.5</v>
      </c>
      <c r="K54" s="623">
        <v>12</v>
      </c>
      <c r="L54" s="623">
        <v>12</v>
      </c>
      <c r="M54" s="623">
        <v>12</v>
      </c>
      <c r="N54" s="623">
        <v>12.5</v>
      </c>
      <c r="O54" s="623">
        <v>11.5</v>
      </c>
      <c r="P54" s="623">
        <v>12</v>
      </c>
      <c r="Q54" s="623">
        <v>12.5</v>
      </c>
      <c r="R54" s="623">
        <v>12</v>
      </c>
      <c r="S54" s="525"/>
    </row>
    <row r="55" spans="4:19" ht="19.5" customHeight="1" x14ac:dyDescent="0.3">
      <c r="D55" s="621" t="s">
        <v>188</v>
      </c>
      <c r="E55" s="830"/>
      <c r="F55" s="833"/>
      <c r="G55" s="622">
        <v>0</v>
      </c>
      <c r="H55" s="394">
        <v>17.5</v>
      </c>
      <c r="I55" s="394">
        <v>18</v>
      </c>
      <c r="J55" s="623">
        <v>18.5</v>
      </c>
      <c r="K55" s="623">
        <v>23</v>
      </c>
      <c r="L55" s="623">
        <v>23</v>
      </c>
      <c r="M55" s="623">
        <v>23</v>
      </c>
      <c r="N55" s="623">
        <v>22.5</v>
      </c>
      <c r="O55" s="623">
        <v>22.5</v>
      </c>
      <c r="P55" s="623">
        <v>23</v>
      </c>
      <c r="Q55" s="623">
        <v>23</v>
      </c>
      <c r="R55" s="623">
        <v>23</v>
      </c>
      <c r="S55" s="525"/>
    </row>
    <row r="56" spans="4:19" ht="19.5" customHeight="1" x14ac:dyDescent="0.3">
      <c r="D56" s="621" t="s">
        <v>189</v>
      </c>
      <c r="E56" s="830"/>
      <c r="F56" s="833"/>
      <c r="G56" s="622">
        <v>0</v>
      </c>
      <c r="H56" s="394">
        <v>40</v>
      </c>
      <c r="I56" s="394">
        <v>42.5</v>
      </c>
      <c r="J56" s="623">
        <v>42</v>
      </c>
      <c r="K56" s="623">
        <v>35</v>
      </c>
      <c r="L56" s="623">
        <v>35.5</v>
      </c>
      <c r="M56" s="623">
        <v>35.5</v>
      </c>
      <c r="N56" s="623">
        <v>36</v>
      </c>
      <c r="O56" s="623">
        <v>36</v>
      </c>
      <c r="P56" s="623">
        <v>36</v>
      </c>
      <c r="Q56" s="623">
        <v>35.5</v>
      </c>
      <c r="R56" s="623">
        <v>36</v>
      </c>
      <c r="S56" s="525"/>
    </row>
    <row r="57" spans="4:19" ht="19.5" customHeight="1" x14ac:dyDescent="0.3">
      <c r="D57" s="621" t="s">
        <v>190</v>
      </c>
      <c r="E57" s="830"/>
      <c r="F57" s="833"/>
      <c r="G57" s="622">
        <v>0</v>
      </c>
      <c r="H57" s="394">
        <v>30</v>
      </c>
      <c r="I57" s="394">
        <v>30</v>
      </c>
      <c r="J57" s="623">
        <v>29</v>
      </c>
      <c r="K57" s="623">
        <v>24</v>
      </c>
      <c r="L57" s="623">
        <v>24</v>
      </c>
      <c r="M57" s="623">
        <v>24</v>
      </c>
      <c r="N57" s="623">
        <v>23.5</v>
      </c>
      <c r="O57" s="623">
        <v>24.5</v>
      </c>
      <c r="P57" s="623">
        <v>23.5</v>
      </c>
      <c r="Q57" s="623">
        <v>23.5</v>
      </c>
      <c r="R57" s="623">
        <v>23.5</v>
      </c>
      <c r="S57" s="525"/>
    </row>
    <row r="58" spans="4:19" ht="19.5" customHeight="1" x14ac:dyDescent="0.3">
      <c r="D58" s="621" t="s">
        <v>191</v>
      </c>
      <c r="E58" s="830"/>
      <c r="F58" s="833"/>
      <c r="G58" s="622">
        <v>4.17</v>
      </c>
      <c r="H58" s="394">
        <v>10</v>
      </c>
      <c r="I58" s="394">
        <v>7</v>
      </c>
      <c r="J58" s="623">
        <v>7</v>
      </c>
      <c r="K58" s="623">
        <v>6</v>
      </c>
      <c r="L58" s="623">
        <v>5.5</v>
      </c>
      <c r="M58" s="623">
        <v>5.5</v>
      </c>
      <c r="N58" s="623">
        <v>5.5</v>
      </c>
      <c r="O58" s="623">
        <v>5.5</v>
      </c>
      <c r="P58" s="623">
        <v>5.5</v>
      </c>
      <c r="Q58" s="623">
        <v>5.5</v>
      </c>
      <c r="R58" s="623">
        <v>5.5</v>
      </c>
      <c r="S58" s="525"/>
    </row>
    <row r="59" spans="4:19" ht="19.5" customHeight="1" x14ac:dyDescent="0.3">
      <c r="D59" s="621" t="s">
        <v>133</v>
      </c>
      <c r="E59" s="830"/>
      <c r="F59" s="833"/>
      <c r="G59" s="622">
        <f>14.05-G58</f>
        <v>9.8800000000000008</v>
      </c>
      <c r="H59" s="394">
        <v>0</v>
      </c>
      <c r="I59" s="394">
        <v>0</v>
      </c>
      <c r="J59" s="623">
        <v>0</v>
      </c>
      <c r="K59" s="623">
        <v>0</v>
      </c>
      <c r="L59" s="623">
        <v>0</v>
      </c>
      <c r="M59" s="623">
        <v>0</v>
      </c>
      <c r="N59" s="623">
        <v>0</v>
      </c>
      <c r="O59" s="623">
        <v>0</v>
      </c>
      <c r="P59" s="623">
        <v>0</v>
      </c>
      <c r="Q59" s="623">
        <v>0</v>
      </c>
      <c r="R59" s="623">
        <v>0</v>
      </c>
      <c r="S59" s="525"/>
    </row>
    <row r="60" spans="4:19" ht="19.5" customHeight="1" x14ac:dyDescent="0.3">
      <c r="D60" s="621" t="s">
        <v>355</v>
      </c>
      <c r="E60" s="831"/>
      <c r="F60" s="834"/>
      <c r="G60" s="622">
        <f>100-SUM(G54:G59)</f>
        <v>85.95</v>
      </c>
      <c r="H60" s="394">
        <f>100-SUM(H54:H59)</f>
        <v>0</v>
      </c>
      <c r="I60" s="394">
        <f t="shared" ref="I60:N60" si="35">100-SUM(I54:I59)</f>
        <v>0</v>
      </c>
      <c r="J60" s="623">
        <f t="shared" si="35"/>
        <v>0</v>
      </c>
      <c r="K60" s="623">
        <f t="shared" si="35"/>
        <v>0</v>
      </c>
      <c r="L60" s="623">
        <f t="shared" si="35"/>
        <v>0</v>
      </c>
      <c r="M60" s="623">
        <f t="shared" si="35"/>
        <v>0</v>
      </c>
      <c r="N60" s="623">
        <f t="shared" si="35"/>
        <v>0</v>
      </c>
      <c r="O60" s="623">
        <f t="shared" ref="O60:Q60" si="36">100-SUM(O54:O59)</f>
        <v>0</v>
      </c>
      <c r="P60" s="623">
        <f t="shared" si="36"/>
        <v>0</v>
      </c>
      <c r="Q60" s="623">
        <f t="shared" si="36"/>
        <v>0</v>
      </c>
      <c r="R60" s="623">
        <f t="shared" ref="R60" si="37">100-SUM(R54:R59)</f>
        <v>0</v>
      </c>
      <c r="S60" s="525"/>
    </row>
    <row r="61" spans="4:19" ht="19.5" customHeight="1" thickBot="1" x14ac:dyDescent="0.35">
      <c r="D61" s="624" t="s">
        <v>356</v>
      </c>
      <c r="E61" s="617"/>
      <c r="F61" s="618"/>
      <c r="G61" s="625">
        <f>SUM(G54:G60)</f>
        <v>100</v>
      </c>
      <c r="H61" s="625">
        <f t="shared" ref="H61:N61" si="38">SUM(H54:H60)</f>
        <v>100</v>
      </c>
      <c r="I61" s="625">
        <f t="shared" si="38"/>
        <v>100</v>
      </c>
      <c r="J61" s="625">
        <f t="shared" si="38"/>
        <v>100</v>
      </c>
      <c r="K61" s="625">
        <f t="shared" si="38"/>
        <v>100</v>
      </c>
      <c r="L61" s="625">
        <f t="shared" si="38"/>
        <v>100</v>
      </c>
      <c r="M61" s="625">
        <f t="shared" si="38"/>
        <v>100</v>
      </c>
      <c r="N61" s="625">
        <f t="shared" si="38"/>
        <v>100</v>
      </c>
      <c r="O61" s="625">
        <f t="shared" ref="O61:Q61" si="39">SUM(O54:O60)</f>
        <v>100</v>
      </c>
      <c r="P61" s="625">
        <f t="shared" si="39"/>
        <v>100</v>
      </c>
      <c r="Q61" s="625">
        <f t="shared" si="39"/>
        <v>100</v>
      </c>
      <c r="R61" s="625">
        <f t="shared" ref="R61" si="40">SUM(R54:R60)</f>
        <v>100</v>
      </c>
      <c r="S61" s="525"/>
    </row>
    <row r="62" spans="4:19" ht="18.75" customHeight="1" x14ac:dyDescent="0.3">
      <c r="D62" s="599" t="s">
        <v>73</v>
      </c>
      <c r="E62" s="835" t="s">
        <v>74</v>
      </c>
      <c r="F62" s="836" t="s">
        <v>66</v>
      </c>
      <c r="G62" s="569"/>
      <c r="H62" s="569"/>
      <c r="I62" s="569"/>
      <c r="J62" s="579"/>
      <c r="K62" s="579"/>
      <c r="L62" s="579"/>
      <c r="M62" s="580"/>
      <c r="N62" s="580"/>
      <c r="O62" s="580"/>
      <c r="P62" s="580"/>
      <c r="Q62" s="580"/>
      <c r="R62" s="580"/>
      <c r="S62" s="525"/>
    </row>
    <row r="63" spans="4:19" ht="18.75" customHeight="1" x14ac:dyDescent="0.3">
      <c r="D63" s="566" t="s">
        <v>75</v>
      </c>
      <c r="E63" s="835"/>
      <c r="F63" s="836"/>
      <c r="G63" s="584">
        <v>2.2999999999999998</v>
      </c>
      <c r="H63" s="584">
        <v>41.4</v>
      </c>
      <c r="I63" s="584">
        <v>40.6</v>
      </c>
      <c r="J63" s="611">
        <v>40.5</v>
      </c>
      <c r="K63" s="611">
        <v>45.6</v>
      </c>
      <c r="L63" s="611">
        <v>52.2</v>
      </c>
      <c r="M63" s="612">
        <v>30.7</v>
      </c>
      <c r="N63" s="612">
        <v>31.6</v>
      </c>
      <c r="O63" s="612">
        <v>38.700000000000003</v>
      </c>
      <c r="P63" s="612">
        <v>39.6</v>
      </c>
      <c r="Q63" s="612">
        <v>40.5</v>
      </c>
      <c r="R63" s="612">
        <v>41.2</v>
      </c>
      <c r="S63" s="525"/>
    </row>
    <row r="64" spans="4:19" ht="18.75" customHeight="1" x14ac:dyDescent="0.3">
      <c r="D64" s="566" t="s">
        <v>76</v>
      </c>
      <c r="E64" s="835"/>
      <c r="F64" s="836"/>
      <c r="G64" s="584">
        <v>41.8</v>
      </c>
      <c r="H64" s="584">
        <v>56.6</v>
      </c>
      <c r="I64" s="584">
        <v>56.8</v>
      </c>
      <c r="J64" s="611">
        <v>56.9</v>
      </c>
      <c r="K64" s="611">
        <v>51.8</v>
      </c>
      <c r="L64" s="611">
        <v>46.7</v>
      </c>
      <c r="M64" s="612">
        <v>67.3</v>
      </c>
      <c r="N64" s="612">
        <v>67.8</v>
      </c>
      <c r="O64" s="612">
        <v>59.2</v>
      </c>
      <c r="P64" s="612">
        <v>60.4</v>
      </c>
      <c r="Q64" s="612">
        <v>58.6</v>
      </c>
      <c r="R64" s="612">
        <v>56.6</v>
      </c>
      <c r="S64" s="525"/>
    </row>
    <row r="65" spans="2:19" ht="18.75" customHeight="1" x14ac:dyDescent="0.3">
      <c r="D65" s="566" t="s">
        <v>77</v>
      </c>
      <c r="E65" s="835"/>
      <c r="F65" s="836"/>
      <c r="G65" s="584">
        <v>24.4</v>
      </c>
      <c r="H65" s="584">
        <v>0</v>
      </c>
      <c r="I65" s="584">
        <v>2.5</v>
      </c>
      <c r="J65" s="609">
        <v>2.2000000000000002</v>
      </c>
      <c r="K65" s="611">
        <v>2.6</v>
      </c>
      <c r="L65" s="611">
        <v>1.1000000000000001</v>
      </c>
      <c r="M65" s="610">
        <v>2</v>
      </c>
      <c r="N65" s="610">
        <v>0.5</v>
      </c>
      <c r="O65" s="610">
        <v>2.1</v>
      </c>
      <c r="P65" s="610">
        <v>0</v>
      </c>
      <c r="Q65" s="610">
        <v>0.9</v>
      </c>
      <c r="R65" s="610">
        <v>2.2999999999999998</v>
      </c>
      <c r="S65" s="525"/>
    </row>
    <row r="66" spans="2:19" ht="18.75" customHeight="1" x14ac:dyDescent="0.3">
      <c r="D66" s="566" t="s">
        <v>78</v>
      </c>
      <c r="E66" s="835"/>
      <c r="F66" s="836"/>
      <c r="G66" s="584">
        <v>31.6</v>
      </c>
      <c r="H66" s="584">
        <v>2</v>
      </c>
      <c r="I66" s="584">
        <v>0.2</v>
      </c>
      <c r="J66" s="611">
        <v>0.4</v>
      </c>
      <c r="K66" s="611">
        <v>0</v>
      </c>
      <c r="L66" s="611">
        <v>0</v>
      </c>
      <c r="M66" s="612">
        <v>0</v>
      </c>
      <c r="N66" s="612">
        <v>0</v>
      </c>
      <c r="O66" s="612">
        <v>0</v>
      </c>
      <c r="P66" s="612">
        <v>0</v>
      </c>
      <c r="Q66" s="612">
        <v>0</v>
      </c>
      <c r="R66" s="612">
        <v>0</v>
      </c>
      <c r="S66" s="525"/>
    </row>
    <row r="67" spans="2:19" x14ac:dyDescent="0.3">
      <c r="B67" s="627"/>
      <c r="C67" s="627"/>
      <c r="D67" s="531"/>
      <c r="E67" s="531"/>
      <c r="F67" s="531"/>
      <c r="G67" s="531"/>
      <c r="H67" s="531"/>
      <c r="I67" s="531"/>
      <c r="J67" s="531"/>
      <c r="K67" s="531"/>
      <c r="L67" s="531"/>
      <c r="M67" s="531"/>
      <c r="N67" s="531"/>
      <c r="O67" s="531"/>
      <c r="P67" s="531"/>
      <c r="Q67" s="531"/>
    </row>
    <row r="68" spans="2:19" x14ac:dyDescent="0.3">
      <c r="B68" s="627"/>
      <c r="C68" s="627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8"/>
      <c r="P68" s="628"/>
      <c r="Q68" s="628"/>
    </row>
    <row r="69" spans="2:19" s="538" customFormat="1" x14ac:dyDescent="0.3">
      <c r="B69" s="531"/>
      <c r="C69" s="531"/>
      <c r="D69" s="629"/>
      <c r="E69" s="630"/>
      <c r="F69" s="631"/>
      <c r="G69" s="531"/>
      <c r="H69" s="531"/>
      <c r="I69" s="531"/>
      <c r="J69" s="531"/>
      <c r="K69" s="531"/>
      <c r="L69" s="531"/>
      <c r="M69" s="531"/>
      <c r="N69" s="531"/>
      <c r="O69" s="531"/>
      <c r="P69" s="531"/>
      <c r="Q69" s="531"/>
      <c r="R69" s="531"/>
      <c r="S69" s="531"/>
    </row>
    <row r="70" spans="2:19" x14ac:dyDescent="0.3">
      <c r="B70" s="627"/>
      <c r="C70" s="627"/>
      <c r="D70" s="629"/>
      <c r="E70" s="630"/>
      <c r="F70" s="6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</row>
    <row r="71" spans="2:19" x14ac:dyDescent="0.3">
      <c r="B71" s="627"/>
      <c r="C71" s="627"/>
      <c r="D71" s="632"/>
      <c r="E71" s="630"/>
      <c r="F71" s="631"/>
      <c r="G71" s="531"/>
      <c r="H71" s="531"/>
      <c r="I71" s="531"/>
      <c r="J71" s="531"/>
      <c r="K71" s="531"/>
      <c r="L71" s="531"/>
      <c r="M71" s="531"/>
      <c r="N71" s="531"/>
      <c r="O71" s="531"/>
      <c r="P71" s="531"/>
      <c r="Q71" s="531"/>
    </row>
    <row r="72" spans="2:19" x14ac:dyDescent="0.3">
      <c r="B72" s="627"/>
      <c r="C72" s="627"/>
      <c r="D72" s="632"/>
      <c r="E72" s="630"/>
      <c r="F72" s="631"/>
      <c r="G72" s="531"/>
      <c r="H72" s="531"/>
      <c r="I72" s="531"/>
      <c r="J72" s="531"/>
      <c r="K72" s="531"/>
      <c r="L72" s="531"/>
      <c r="M72" s="531"/>
      <c r="N72" s="531"/>
      <c r="O72" s="531"/>
      <c r="P72" s="531"/>
      <c r="Q72" s="531"/>
    </row>
    <row r="73" spans="2:19" x14ac:dyDescent="0.3">
      <c r="B73" s="627"/>
      <c r="C73" s="627"/>
      <c r="D73" s="632"/>
      <c r="E73" s="630"/>
      <c r="F73" s="631"/>
      <c r="G73" s="531"/>
      <c r="H73" s="531"/>
      <c r="I73" s="531"/>
      <c r="J73" s="531"/>
      <c r="K73" s="531"/>
      <c r="L73" s="531"/>
      <c r="M73" s="531"/>
      <c r="N73" s="531"/>
      <c r="O73" s="531"/>
      <c r="P73" s="531"/>
      <c r="Q73" s="531"/>
    </row>
    <row r="74" spans="2:19" x14ac:dyDescent="0.3">
      <c r="B74" s="627"/>
      <c r="C74" s="627"/>
      <c r="D74" s="629"/>
      <c r="E74" s="630"/>
      <c r="F74" s="631"/>
      <c r="G74" s="531"/>
      <c r="H74" s="531"/>
      <c r="I74" s="531"/>
      <c r="J74" s="531"/>
      <c r="K74" s="531"/>
      <c r="L74" s="531"/>
      <c r="M74" s="531"/>
      <c r="N74" s="531"/>
      <c r="O74" s="531"/>
      <c r="P74" s="531"/>
      <c r="Q74" s="531"/>
    </row>
    <row r="75" spans="2:19" x14ac:dyDescent="0.3">
      <c r="B75" s="627"/>
      <c r="C75" s="627"/>
      <c r="D75" s="629"/>
      <c r="E75" s="630"/>
      <c r="F75" s="631"/>
      <c r="G75" s="531"/>
      <c r="H75" s="531"/>
      <c r="I75" s="531"/>
      <c r="J75" s="531"/>
      <c r="K75" s="531"/>
      <c r="L75" s="531"/>
      <c r="M75" s="531"/>
      <c r="N75" s="531"/>
      <c r="O75" s="531"/>
      <c r="P75" s="531"/>
      <c r="Q75" s="531"/>
    </row>
    <row r="76" spans="2:19" x14ac:dyDescent="0.3">
      <c r="B76" s="627"/>
      <c r="C76" s="627"/>
      <c r="D76" s="632"/>
      <c r="E76" s="630"/>
      <c r="F76" s="631"/>
      <c r="G76" s="531"/>
      <c r="H76" s="531"/>
      <c r="I76" s="531"/>
      <c r="J76" s="531"/>
      <c r="K76" s="531"/>
      <c r="L76" s="531"/>
      <c r="M76" s="531"/>
      <c r="N76" s="531"/>
      <c r="O76" s="531"/>
      <c r="P76" s="531"/>
      <c r="Q76" s="531"/>
    </row>
    <row r="77" spans="2:19" x14ac:dyDescent="0.3">
      <c r="B77" s="627"/>
      <c r="C77" s="627"/>
      <c r="D77" s="632"/>
      <c r="E77" s="630"/>
      <c r="F77" s="631"/>
      <c r="G77" s="531"/>
      <c r="H77" s="531"/>
      <c r="I77" s="531"/>
      <c r="J77" s="531"/>
      <c r="K77" s="531"/>
      <c r="L77" s="531"/>
      <c r="M77" s="531"/>
      <c r="N77" s="531"/>
      <c r="O77" s="531"/>
      <c r="P77" s="531"/>
      <c r="Q77" s="531"/>
    </row>
    <row r="78" spans="2:19" x14ac:dyDescent="0.3">
      <c r="B78" s="627"/>
      <c r="C78" s="627"/>
      <c r="D78" s="629"/>
      <c r="E78" s="630"/>
      <c r="F78" s="631"/>
      <c r="G78" s="531"/>
      <c r="H78" s="531"/>
      <c r="I78" s="531"/>
      <c r="J78" s="531"/>
      <c r="K78" s="531"/>
      <c r="L78" s="531"/>
      <c r="M78" s="531"/>
      <c r="N78" s="531"/>
      <c r="O78" s="531"/>
      <c r="P78" s="531"/>
      <c r="Q78" s="531"/>
    </row>
    <row r="79" spans="2:19" x14ac:dyDescent="0.3">
      <c r="B79" s="627"/>
      <c r="C79" s="627"/>
      <c r="D79" s="632"/>
      <c r="E79" s="630"/>
      <c r="F79" s="631"/>
      <c r="G79" s="531"/>
      <c r="H79" s="531"/>
      <c r="I79" s="531"/>
      <c r="J79" s="531"/>
      <c r="K79" s="531"/>
      <c r="L79" s="531"/>
      <c r="M79" s="531"/>
      <c r="N79" s="531"/>
      <c r="O79" s="531"/>
      <c r="P79" s="531"/>
      <c r="Q79" s="531"/>
    </row>
    <row r="80" spans="2:19" x14ac:dyDescent="0.3">
      <c r="B80" s="627"/>
      <c r="C80" s="627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8"/>
      <c r="P80" s="628"/>
      <c r="Q80" s="628"/>
    </row>
    <row r="81" spans="2:17" x14ac:dyDescent="0.3">
      <c r="B81" s="627"/>
      <c r="C81" s="627"/>
      <c r="D81" s="629"/>
      <c r="E81" s="630"/>
      <c r="F81" s="631"/>
      <c r="G81" s="531"/>
      <c r="H81" s="531"/>
      <c r="I81" s="531"/>
      <c r="J81" s="531"/>
      <c r="K81" s="633"/>
      <c r="L81" s="531"/>
      <c r="M81" s="633"/>
      <c r="N81" s="633"/>
      <c r="O81" s="633"/>
      <c r="P81" s="633"/>
      <c r="Q81" s="633"/>
    </row>
    <row r="82" spans="2:17" x14ac:dyDescent="0.3">
      <c r="B82" s="627"/>
      <c r="C82" s="627"/>
      <c r="D82" s="629"/>
      <c r="E82" s="630"/>
      <c r="F82" s="631"/>
      <c r="G82" s="531"/>
      <c r="H82" s="531"/>
      <c r="I82" s="531"/>
      <c r="J82" s="531"/>
      <c r="K82" s="633"/>
      <c r="L82" s="531"/>
      <c r="M82" s="633"/>
      <c r="N82" s="633"/>
      <c r="O82" s="633"/>
      <c r="P82" s="633"/>
      <c r="Q82" s="633"/>
    </row>
    <row r="83" spans="2:17" x14ac:dyDescent="0.3">
      <c r="B83" s="627"/>
      <c r="C83" s="627"/>
      <c r="D83" s="632"/>
      <c r="E83" s="630"/>
      <c r="F83" s="631"/>
      <c r="G83" s="531"/>
      <c r="H83" s="531"/>
      <c r="I83" s="531"/>
      <c r="J83" s="531"/>
      <c r="K83" s="633"/>
      <c r="L83" s="531"/>
      <c r="M83" s="633"/>
      <c r="N83" s="633"/>
      <c r="O83" s="633"/>
      <c r="P83" s="633"/>
      <c r="Q83" s="633"/>
    </row>
    <row r="84" spans="2:17" x14ac:dyDescent="0.3">
      <c r="B84" s="627"/>
      <c r="C84" s="627"/>
      <c r="D84" s="632"/>
      <c r="E84" s="630"/>
      <c r="F84" s="631"/>
      <c r="G84" s="531"/>
      <c r="H84" s="531"/>
      <c r="I84" s="531"/>
      <c r="J84" s="531"/>
      <c r="K84" s="633"/>
      <c r="L84" s="531"/>
      <c r="M84" s="633"/>
      <c r="N84" s="633"/>
      <c r="O84" s="633"/>
      <c r="P84" s="633"/>
      <c r="Q84" s="633"/>
    </row>
    <row r="85" spans="2:17" x14ac:dyDescent="0.3">
      <c r="B85" s="627"/>
      <c r="C85" s="627"/>
      <c r="D85" s="632"/>
      <c r="E85" s="630"/>
      <c r="F85" s="631"/>
      <c r="G85" s="531"/>
      <c r="H85" s="531"/>
      <c r="I85" s="531"/>
      <c r="J85" s="531"/>
      <c r="K85" s="633"/>
      <c r="L85" s="531"/>
      <c r="M85" s="633"/>
      <c r="N85" s="633"/>
      <c r="O85" s="633"/>
      <c r="P85" s="633"/>
      <c r="Q85" s="633"/>
    </row>
    <row r="86" spans="2:17" x14ac:dyDescent="0.3">
      <c r="B86" s="627"/>
      <c r="C86" s="627"/>
      <c r="D86" s="629"/>
      <c r="E86" s="630"/>
      <c r="F86" s="631"/>
      <c r="G86" s="531"/>
      <c r="H86" s="531"/>
      <c r="I86" s="531"/>
      <c r="J86" s="531"/>
      <c r="K86" s="633"/>
      <c r="L86" s="531"/>
      <c r="M86" s="633"/>
      <c r="N86" s="633"/>
      <c r="O86" s="633"/>
      <c r="P86" s="633"/>
      <c r="Q86" s="633"/>
    </row>
    <row r="87" spans="2:17" x14ac:dyDescent="0.3">
      <c r="B87" s="627"/>
      <c r="C87" s="627"/>
      <c r="D87" s="629"/>
      <c r="E87" s="630"/>
      <c r="F87" s="631"/>
      <c r="G87" s="531"/>
      <c r="H87" s="531"/>
      <c r="I87" s="531"/>
      <c r="J87" s="531"/>
      <c r="K87" s="633"/>
      <c r="L87" s="531"/>
      <c r="M87" s="633"/>
      <c r="N87" s="633"/>
      <c r="O87" s="633"/>
      <c r="P87" s="633"/>
      <c r="Q87" s="633"/>
    </row>
    <row r="88" spans="2:17" x14ac:dyDescent="0.3">
      <c r="B88" s="627"/>
      <c r="C88" s="627"/>
      <c r="D88" s="632"/>
      <c r="E88" s="630"/>
      <c r="F88" s="631"/>
      <c r="G88" s="531"/>
      <c r="H88" s="531"/>
      <c r="I88" s="531"/>
      <c r="J88" s="531"/>
      <c r="K88" s="633"/>
      <c r="L88" s="531"/>
      <c r="M88" s="633"/>
      <c r="N88" s="633"/>
      <c r="O88" s="633"/>
      <c r="P88" s="633"/>
      <c r="Q88" s="633"/>
    </row>
    <row r="89" spans="2:17" x14ac:dyDescent="0.3">
      <c r="B89" s="627"/>
      <c r="C89" s="627"/>
      <c r="D89" s="632"/>
      <c r="E89" s="630"/>
      <c r="F89" s="631"/>
      <c r="G89" s="531"/>
      <c r="H89" s="531"/>
      <c r="I89" s="531"/>
      <c r="J89" s="531"/>
      <c r="K89" s="633"/>
      <c r="L89" s="531"/>
      <c r="M89" s="633"/>
      <c r="N89" s="633"/>
      <c r="O89" s="633"/>
      <c r="P89" s="633"/>
      <c r="Q89" s="633"/>
    </row>
    <row r="90" spans="2:17" x14ac:dyDescent="0.3">
      <c r="B90" s="627"/>
      <c r="C90" s="627"/>
      <c r="D90" s="629"/>
      <c r="E90" s="630"/>
      <c r="F90" s="631"/>
      <c r="G90" s="531"/>
      <c r="H90" s="531"/>
      <c r="I90" s="531"/>
      <c r="J90" s="531"/>
      <c r="K90" s="633"/>
      <c r="L90" s="531"/>
      <c r="M90" s="633"/>
      <c r="N90" s="633"/>
      <c r="O90" s="633"/>
      <c r="P90" s="633"/>
      <c r="Q90" s="633"/>
    </row>
    <row r="91" spans="2:17" x14ac:dyDescent="0.3">
      <c r="B91" s="627"/>
      <c r="C91" s="627"/>
      <c r="D91" s="632"/>
      <c r="E91" s="630"/>
      <c r="F91" s="631"/>
      <c r="G91" s="531"/>
      <c r="H91" s="531"/>
      <c r="I91" s="531"/>
      <c r="J91" s="531"/>
      <c r="K91" s="633"/>
      <c r="L91" s="531"/>
      <c r="M91" s="633"/>
      <c r="N91" s="633"/>
      <c r="O91" s="633"/>
      <c r="P91" s="633"/>
      <c r="Q91" s="633"/>
    </row>
    <row r="92" spans="2:17" x14ac:dyDescent="0.3">
      <c r="B92" s="627"/>
      <c r="C92" s="627"/>
      <c r="D92" s="531"/>
      <c r="E92" s="531"/>
      <c r="F92" s="531"/>
      <c r="G92" s="531"/>
      <c r="H92" s="531"/>
      <c r="I92" s="531"/>
      <c r="J92" s="531"/>
      <c r="K92" s="531"/>
      <c r="L92" s="531"/>
      <c r="M92" s="531"/>
      <c r="N92" s="531"/>
      <c r="O92" s="531"/>
      <c r="P92" s="531"/>
      <c r="Q92" s="531"/>
    </row>
    <row r="93" spans="2:17" x14ac:dyDescent="0.3">
      <c r="B93" s="627"/>
      <c r="C93" s="627"/>
      <c r="D93" s="531"/>
      <c r="E93" s="531"/>
      <c r="F93" s="531"/>
      <c r="G93" s="531"/>
      <c r="H93" s="531"/>
      <c r="I93" s="531"/>
      <c r="J93" s="531"/>
      <c r="K93" s="531"/>
      <c r="L93" s="531"/>
      <c r="M93" s="531"/>
      <c r="N93" s="531"/>
      <c r="O93" s="531"/>
      <c r="P93" s="531"/>
      <c r="Q93" s="531"/>
    </row>
    <row r="94" spans="2:17" x14ac:dyDescent="0.3">
      <c r="B94" s="627"/>
      <c r="C94" s="627"/>
      <c r="D94" s="531"/>
      <c r="E94" s="531"/>
      <c r="F94" s="531"/>
      <c r="G94" s="531"/>
      <c r="H94" s="531"/>
      <c r="I94" s="531"/>
      <c r="J94" s="531"/>
      <c r="K94" s="531"/>
      <c r="L94" s="531"/>
      <c r="M94" s="531"/>
      <c r="N94" s="531"/>
      <c r="O94" s="531"/>
      <c r="P94" s="531"/>
      <c r="Q94" s="531"/>
    </row>
  </sheetData>
  <mergeCells count="16">
    <mergeCell ref="D1:H1"/>
    <mergeCell ref="E12:E17"/>
    <mergeCell ref="F12:F17"/>
    <mergeCell ref="D18:D20"/>
    <mergeCell ref="E19:E20"/>
    <mergeCell ref="D21:D23"/>
    <mergeCell ref="E22:E23"/>
    <mergeCell ref="E24:E27"/>
    <mergeCell ref="F24:F27"/>
    <mergeCell ref="E39:E51"/>
    <mergeCell ref="F39:F52"/>
    <mergeCell ref="E54:E60"/>
    <mergeCell ref="F54:F60"/>
    <mergeCell ref="E62:E66"/>
    <mergeCell ref="F62:F66"/>
    <mergeCell ref="H4:Q4"/>
  </mergeCells>
  <phoneticPr fontId="40" type="noConversion"/>
  <printOptions horizontalCentered="1"/>
  <pageMargins left="0.24" right="0.17" top="0.52" bottom="0.38" header="0.31496062992126" footer="0.16"/>
  <pageSetup paperSize="9" scale="63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6D03-D67E-4DF2-9E27-3F2A8A99A127}">
  <sheetPr>
    <tabColor rgb="FFFF0000"/>
    <pageSetUpPr fitToPage="1"/>
  </sheetPr>
  <dimension ref="D1:AC223"/>
  <sheetViews>
    <sheetView showGridLines="0" topLeftCell="A79" zoomScale="70" zoomScaleNormal="70" zoomScaleSheetLayoutView="100" workbookViewId="0">
      <selection activeCell="Y14" sqref="Y14"/>
    </sheetView>
  </sheetViews>
  <sheetFormatPr defaultColWidth="9.140625" defaultRowHeight="17.25" x14ac:dyDescent="0.3"/>
  <cols>
    <col min="1" max="2" width="9.140625" style="525"/>
    <col min="3" max="3" width="1" style="525" customWidth="1"/>
    <col min="4" max="4" width="31.28515625" style="538" customWidth="1"/>
    <col min="5" max="6" width="9" style="538" bestFit="1" customWidth="1"/>
    <col min="7" max="7" width="11.28515625" style="538" bestFit="1" customWidth="1"/>
    <col min="8" max="8" width="24" style="538" customWidth="1"/>
    <col min="9" max="12" width="22.7109375" style="538" customWidth="1"/>
    <col min="13" max="13" width="21.7109375" style="538" customWidth="1"/>
    <col min="14" max="14" width="15.42578125" style="538" customWidth="1"/>
    <col min="15" max="15" width="14.5703125" style="538" bestFit="1" customWidth="1"/>
    <col min="16" max="16" width="12.140625" style="538" customWidth="1"/>
    <col min="17" max="17" width="15" style="538" customWidth="1"/>
    <col min="18" max="19" width="12.140625" style="538" customWidth="1"/>
    <col min="20" max="23" width="15" style="538" customWidth="1"/>
    <col min="24" max="25" width="13" style="525" customWidth="1"/>
    <col min="26" max="27" width="14.140625" style="525" customWidth="1"/>
    <col min="28" max="29" width="11" style="525" customWidth="1"/>
    <col min="30" max="16384" width="9.140625" style="525"/>
  </cols>
  <sheetData>
    <row r="1" spans="4:24" ht="26.25" customHeight="1" x14ac:dyDescent="0.35">
      <c r="D1" s="855" t="s">
        <v>9</v>
      </c>
      <c r="E1" s="855"/>
      <c r="F1" s="855"/>
      <c r="G1" s="855"/>
      <c r="H1" s="855"/>
      <c r="I1" s="855"/>
      <c r="J1" s="855"/>
      <c r="K1" s="855"/>
      <c r="L1" s="522"/>
      <c r="M1" s="523"/>
      <c r="N1" s="523"/>
      <c r="O1" s="523"/>
      <c r="P1" s="523"/>
      <c r="Q1" s="523"/>
      <c r="R1" s="523"/>
      <c r="S1" s="523"/>
      <c r="T1" s="523"/>
      <c r="U1" s="523"/>
      <c r="V1" s="523"/>
      <c r="W1" s="523"/>
    </row>
    <row r="2" spans="4:24" ht="30.75" customHeight="1" x14ac:dyDescent="0.3">
      <c r="D2" s="526" t="s">
        <v>10</v>
      </c>
      <c r="E2" s="526"/>
      <c r="F2" s="663"/>
      <c r="G2" s="663"/>
      <c r="H2" s="664" t="s">
        <v>11</v>
      </c>
      <c r="I2" s="528"/>
      <c r="J2" s="528"/>
      <c r="K2" s="529"/>
      <c r="L2" s="529"/>
      <c r="M2" s="530"/>
      <c r="N2" s="530"/>
      <c r="O2" s="525"/>
      <c r="P2" s="530"/>
      <c r="Q2" s="530"/>
      <c r="R2" s="530"/>
      <c r="S2" s="530"/>
      <c r="T2" s="530"/>
      <c r="U2" s="530"/>
      <c r="V2" s="530"/>
      <c r="W2" s="530"/>
    </row>
    <row r="3" spans="4:24" ht="26.25" customHeight="1" x14ac:dyDescent="0.3">
      <c r="D3" s="526" t="s">
        <v>12</v>
      </c>
      <c r="E3" s="526"/>
      <c r="F3" s="663"/>
      <c r="G3" s="663"/>
      <c r="H3" s="532" t="s">
        <v>13</v>
      </c>
      <c r="I3" s="533"/>
      <c r="J3" s="533"/>
      <c r="K3" s="529"/>
      <c r="L3" s="529"/>
      <c r="M3" s="530"/>
      <c r="N3" s="529"/>
      <c r="O3" s="525"/>
      <c r="P3" s="530"/>
      <c r="Q3" s="529"/>
      <c r="R3" s="530"/>
      <c r="S3" s="530"/>
      <c r="T3" s="529"/>
      <c r="U3" s="529"/>
      <c r="V3" s="529"/>
      <c r="W3" s="529"/>
    </row>
    <row r="4" spans="4:24" ht="28.5" customHeight="1" x14ac:dyDescent="0.3">
      <c r="D4" s="526" t="s">
        <v>14</v>
      </c>
      <c r="E4" s="526"/>
      <c r="F4" s="663"/>
      <c r="G4" s="663"/>
      <c r="H4" s="665" t="s">
        <v>15</v>
      </c>
      <c r="I4" s="665"/>
      <c r="J4" s="665"/>
      <c r="K4" s="530"/>
      <c r="L4" s="530"/>
      <c r="M4" s="530"/>
      <c r="N4" s="530"/>
      <c r="O4" s="530"/>
      <c r="P4" s="530"/>
      <c r="Q4" s="530"/>
      <c r="R4" s="530"/>
      <c r="S4" s="530"/>
      <c r="T4" s="530"/>
      <c r="U4" s="530"/>
      <c r="V4" s="530"/>
      <c r="W4" s="530"/>
    </row>
    <row r="5" spans="4:24" s="627" customFormat="1" ht="56.25" customHeight="1" x14ac:dyDescent="0.3">
      <c r="D5" s="666"/>
      <c r="E5" s="666"/>
      <c r="F5" s="666"/>
      <c r="G5" s="666"/>
      <c r="H5" s="531"/>
      <c r="I5" s="531"/>
      <c r="J5" s="531"/>
      <c r="K5" s="667"/>
      <c r="L5" s="667"/>
      <c r="M5" s="531"/>
      <c r="N5" s="531"/>
      <c r="O5" s="531"/>
      <c r="P5" s="531"/>
      <c r="Q5" s="531"/>
      <c r="R5" s="531"/>
      <c r="S5" s="531"/>
      <c r="T5" s="531"/>
      <c r="U5" s="531"/>
      <c r="V5" s="531"/>
      <c r="W5" s="531"/>
    </row>
    <row r="6" spans="4:24" s="627" customFormat="1" ht="56.25" customHeight="1" x14ac:dyDescent="0.3">
      <c r="D6" s="666"/>
      <c r="E6" s="666"/>
      <c r="F6" s="666"/>
      <c r="G6" s="666"/>
      <c r="H6" s="531"/>
      <c r="I6" s="531"/>
      <c r="J6" s="531"/>
      <c r="K6" s="667"/>
      <c r="L6" s="667"/>
      <c r="M6" s="531"/>
      <c r="N6" s="531"/>
      <c r="O6" s="531"/>
      <c r="P6" s="531"/>
      <c r="Q6" s="531"/>
      <c r="R6" s="531"/>
      <c r="S6" s="531"/>
      <c r="T6" s="531"/>
      <c r="U6" s="531"/>
      <c r="V6" s="531"/>
      <c r="W6" s="531"/>
    </row>
    <row r="7" spans="4:24" s="627" customFormat="1" ht="56.25" customHeight="1" x14ac:dyDescent="0.3">
      <c r="D7" s="666"/>
      <c r="E7" s="666"/>
      <c r="F7" s="666"/>
      <c r="G7" s="666"/>
      <c r="H7" s="531"/>
      <c r="I7" s="531"/>
      <c r="J7" s="531"/>
      <c r="K7" s="667"/>
      <c r="L7" s="667"/>
      <c r="M7" s="531"/>
      <c r="N7" s="531"/>
      <c r="O7" s="531"/>
      <c r="P7" s="531"/>
      <c r="Q7" s="531"/>
      <c r="R7" s="531"/>
      <c r="S7" s="531"/>
      <c r="T7" s="531"/>
      <c r="U7" s="531"/>
      <c r="V7" s="531"/>
      <c r="W7" s="531"/>
    </row>
    <row r="8" spans="4:24" s="627" customFormat="1" ht="56.25" customHeight="1" x14ac:dyDescent="0.3">
      <c r="D8" s="666"/>
      <c r="E8" s="666"/>
      <c r="F8" s="666"/>
      <c r="G8" s="666"/>
      <c r="H8" s="531"/>
      <c r="I8" s="531"/>
      <c r="J8" s="531"/>
      <c r="K8" s="667"/>
      <c r="L8" s="667"/>
      <c r="M8" s="531"/>
      <c r="N8" s="531"/>
      <c r="O8" s="531"/>
      <c r="P8" s="531"/>
      <c r="Q8" s="531"/>
      <c r="R8" s="531"/>
      <c r="S8" s="531"/>
      <c r="T8" s="531"/>
      <c r="U8" s="531"/>
      <c r="V8" s="531"/>
      <c r="W8" s="531"/>
    </row>
    <row r="9" spans="4:24" s="627" customFormat="1" ht="56.25" customHeight="1" x14ac:dyDescent="0.3">
      <c r="D9" s="666"/>
      <c r="E9" s="666"/>
      <c r="F9" s="666"/>
      <c r="G9" s="666"/>
      <c r="H9" s="531"/>
      <c r="I9" s="531"/>
      <c r="J9" s="531"/>
      <c r="K9" s="667"/>
      <c r="L9" s="667"/>
      <c r="M9" s="531"/>
      <c r="N9" s="531"/>
      <c r="O9" s="531"/>
      <c r="P9" s="531"/>
      <c r="Q9" s="531"/>
      <c r="R9" s="531"/>
      <c r="S9" s="531"/>
      <c r="T9" s="531"/>
      <c r="U9" s="531"/>
      <c r="V9" s="531"/>
      <c r="W9" s="531"/>
    </row>
    <row r="10" spans="4:24" s="627" customFormat="1" ht="56.25" customHeight="1" x14ac:dyDescent="0.3">
      <c r="D10" s="666"/>
      <c r="E10" s="666"/>
      <c r="F10" s="666"/>
      <c r="G10" s="666"/>
      <c r="H10" s="531"/>
      <c r="I10" s="531"/>
      <c r="J10" s="531"/>
      <c r="K10" s="667"/>
      <c r="L10" s="667"/>
      <c r="M10" s="531"/>
      <c r="N10" s="531"/>
      <c r="P10" s="531"/>
      <c r="Q10" s="531"/>
      <c r="R10" s="531"/>
      <c r="S10" s="531"/>
      <c r="T10" s="531"/>
      <c r="U10" s="531"/>
      <c r="V10" s="531"/>
      <c r="W10" s="531"/>
    </row>
    <row r="11" spans="4:24" s="627" customFormat="1" ht="56.25" customHeight="1" x14ac:dyDescent="0.3">
      <c r="D11" s="666"/>
      <c r="E11" s="666"/>
      <c r="F11" s="666"/>
      <c r="G11" s="666"/>
      <c r="H11" s="531"/>
      <c r="I11" s="531"/>
      <c r="J11" s="531"/>
      <c r="K11" s="667"/>
      <c r="L11" s="667"/>
      <c r="M11" s="531"/>
      <c r="N11" s="531"/>
      <c r="O11" s="531"/>
      <c r="P11" s="531"/>
      <c r="Q11" s="531"/>
      <c r="R11" s="531"/>
      <c r="S11" s="531"/>
      <c r="T11" s="531"/>
      <c r="U11" s="531"/>
      <c r="V11" s="531"/>
      <c r="W11" s="531"/>
    </row>
    <row r="12" spans="4:24" s="627" customFormat="1" ht="56.25" customHeight="1" x14ac:dyDescent="0.3">
      <c r="D12" s="666"/>
      <c r="E12" s="666"/>
      <c r="F12" s="666"/>
      <c r="G12" s="666"/>
      <c r="H12" s="531"/>
      <c r="I12" s="531"/>
      <c r="J12" s="531"/>
      <c r="K12" s="667"/>
      <c r="L12" s="667"/>
      <c r="M12" s="531"/>
      <c r="N12" s="531"/>
      <c r="O12" s="531"/>
      <c r="P12" s="531"/>
      <c r="Q12" s="531"/>
      <c r="R12" s="531"/>
      <c r="S12" s="531"/>
      <c r="T12" s="531"/>
      <c r="U12" s="531"/>
      <c r="V12" s="531"/>
      <c r="W12" s="531"/>
    </row>
    <row r="13" spans="4:24" s="627" customFormat="1" ht="56.25" customHeight="1" x14ac:dyDescent="0.3">
      <c r="D13" s="666"/>
      <c r="E13" s="666"/>
      <c r="F13" s="666"/>
      <c r="G13" s="666"/>
      <c r="H13" s="531"/>
      <c r="I13" s="531"/>
      <c r="J13" s="531"/>
      <c r="K13" s="667"/>
      <c r="L13" s="667"/>
      <c r="M13" s="531"/>
      <c r="N13" s="531"/>
      <c r="O13" s="531"/>
      <c r="P13" s="531"/>
      <c r="Q13" s="531"/>
      <c r="R13" s="531"/>
      <c r="S13" s="531"/>
      <c r="T13" s="531"/>
      <c r="U13" s="531"/>
      <c r="V13" s="531"/>
      <c r="W13" s="531"/>
    </row>
    <row r="14" spans="4:24" s="627" customFormat="1" ht="39" customHeight="1" x14ac:dyDescent="0.3">
      <c r="D14" s="666"/>
      <c r="E14" s="666"/>
      <c r="F14" s="666"/>
      <c r="G14" s="668" t="s">
        <v>108</v>
      </c>
      <c r="H14" s="539" t="s">
        <v>105</v>
      </c>
      <c r="I14" s="539" t="s">
        <v>17</v>
      </c>
      <c r="J14" s="539" t="s">
        <v>18</v>
      </c>
      <c r="K14" s="539" t="s">
        <v>19</v>
      </c>
      <c r="L14" s="539" t="s">
        <v>367</v>
      </c>
      <c r="M14" s="539" t="s">
        <v>359</v>
      </c>
      <c r="N14" s="669" t="s">
        <v>360</v>
      </c>
      <c r="O14" s="669" t="s">
        <v>332</v>
      </c>
      <c r="P14" s="669" t="s">
        <v>333</v>
      </c>
      <c r="Q14" s="669" t="s">
        <v>334</v>
      </c>
      <c r="R14" s="669" t="s">
        <v>335</v>
      </c>
      <c r="S14" s="669" t="s">
        <v>336</v>
      </c>
      <c r="T14" s="669" t="s">
        <v>337</v>
      </c>
      <c r="U14" s="669" t="s">
        <v>371</v>
      </c>
      <c r="V14" s="669" t="s">
        <v>372</v>
      </c>
      <c r="W14" s="669" t="s">
        <v>373</v>
      </c>
      <c r="X14" s="669" t="s">
        <v>519</v>
      </c>
    </row>
    <row r="15" spans="4:24" s="670" customFormat="1" ht="15.75" thickBot="1" x14ac:dyDescent="0.25">
      <c r="D15" s="729" t="s">
        <v>26</v>
      </c>
      <c r="G15" s="670" t="s">
        <v>109</v>
      </c>
      <c r="H15" s="671">
        <v>14</v>
      </c>
      <c r="I15" s="671" t="s">
        <v>368</v>
      </c>
      <c r="J15" s="670">
        <v>15</v>
      </c>
      <c r="K15" s="670" t="s">
        <v>106</v>
      </c>
      <c r="L15" s="670">
        <v>16</v>
      </c>
      <c r="M15" s="530" t="s">
        <v>369</v>
      </c>
    </row>
    <row r="16" spans="4:24" s="627" customFormat="1" ht="19.5" customHeight="1" x14ac:dyDescent="0.3">
      <c r="D16" s="672" t="s">
        <v>107</v>
      </c>
      <c r="E16" s="673">
        <v>500</v>
      </c>
      <c r="F16" s="673">
        <v>560</v>
      </c>
      <c r="G16" s="673" t="s">
        <v>108</v>
      </c>
      <c r="H16" s="674">
        <v>141224</v>
      </c>
      <c r="I16" s="675">
        <v>151224</v>
      </c>
      <c r="J16" s="674">
        <v>151224</v>
      </c>
      <c r="K16" s="675">
        <v>161224</v>
      </c>
      <c r="L16" s="674">
        <v>171224</v>
      </c>
      <c r="M16" s="674">
        <v>171224</v>
      </c>
      <c r="N16" s="674">
        <v>181224</v>
      </c>
      <c r="O16" s="674">
        <v>191224</v>
      </c>
      <c r="P16" s="674">
        <v>201224</v>
      </c>
      <c r="Q16" s="674">
        <v>211224</v>
      </c>
      <c r="R16" s="674">
        <v>221224</v>
      </c>
      <c r="S16" s="674">
        <v>231224</v>
      </c>
      <c r="T16" s="674">
        <v>241224</v>
      </c>
      <c r="U16" s="785">
        <v>251224</v>
      </c>
      <c r="V16" s="785">
        <v>261224</v>
      </c>
      <c r="W16" s="785">
        <v>271224</v>
      </c>
      <c r="X16" s="785">
        <v>281224</v>
      </c>
    </row>
    <row r="17" spans="4:24" s="627" customFormat="1" ht="19.5" customHeight="1" x14ac:dyDescent="0.3">
      <c r="D17" s="676">
        <v>0</v>
      </c>
      <c r="E17" s="676">
        <v>500</v>
      </c>
      <c r="F17" s="676">
        <v>560</v>
      </c>
      <c r="G17" s="677">
        <v>375.98</v>
      </c>
      <c r="H17" s="678">
        <v>161</v>
      </c>
      <c r="I17" s="678">
        <v>159</v>
      </c>
      <c r="J17" s="678">
        <v>162</v>
      </c>
      <c r="K17" s="678">
        <v>167</v>
      </c>
      <c r="L17" s="678">
        <v>163</v>
      </c>
      <c r="M17" s="678">
        <v>166</v>
      </c>
      <c r="N17" s="678"/>
      <c r="O17" s="678">
        <v>94.4</v>
      </c>
      <c r="P17" s="678">
        <v>97.26</v>
      </c>
      <c r="Q17" s="678">
        <v>95.55</v>
      </c>
      <c r="R17" s="678">
        <v>99.9</v>
      </c>
      <c r="S17" s="678">
        <v>162</v>
      </c>
      <c r="T17" s="678">
        <v>94.68</v>
      </c>
      <c r="U17" s="678">
        <v>85.31</v>
      </c>
      <c r="V17" s="678">
        <v>83.48</v>
      </c>
      <c r="W17" s="678">
        <v>83.78</v>
      </c>
      <c r="X17" s="678">
        <v>69</v>
      </c>
    </row>
    <row r="18" spans="4:24" s="627" customFormat="1" ht="19.5" customHeight="1" x14ac:dyDescent="0.3">
      <c r="D18" s="676">
        <v>1</v>
      </c>
      <c r="E18" s="676">
        <v>500</v>
      </c>
      <c r="F18" s="676">
        <v>560</v>
      </c>
      <c r="G18" s="677">
        <v>402</v>
      </c>
      <c r="H18" s="678">
        <v>190</v>
      </c>
      <c r="I18" s="678">
        <v>187</v>
      </c>
      <c r="J18" s="678">
        <v>190</v>
      </c>
      <c r="K18" s="678">
        <v>197</v>
      </c>
      <c r="L18" s="678">
        <v>195</v>
      </c>
      <c r="M18" s="678">
        <v>197</v>
      </c>
      <c r="N18" s="678"/>
      <c r="O18" s="678">
        <v>119.27</v>
      </c>
      <c r="P18" s="678">
        <v>122.15</v>
      </c>
      <c r="Q18" s="678">
        <v>121.33</v>
      </c>
      <c r="R18" s="678">
        <v>127.72</v>
      </c>
      <c r="S18" s="678">
        <v>172.5</v>
      </c>
      <c r="T18" s="678">
        <v>120.64</v>
      </c>
      <c r="U18" s="678">
        <v>104.12</v>
      </c>
      <c r="V18" s="678">
        <v>100.6</v>
      </c>
      <c r="W18" s="678">
        <v>103.64</v>
      </c>
      <c r="X18" s="678">
        <v>83</v>
      </c>
    </row>
    <row r="19" spans="4:24" s="627" customFormat="1" ht="19.5" customHeight="1" x14ac:dyDescent="0.3">
      <c r="D19" s="676">
        <v>2</v>
      </c>
      <c r="E19" s="676">
        <v>500</v>
      </c>
      <c r="F19" s="676">
        <v>560</v>
      </c>
      <c r="G19" s="677">
        <v>422</v>
      </c>
      <c r="H19" s="678">
        <v>231</v>
      </c>
      <c r="I19" s="678">
        <v>229</v>
      </c>
      <c r="J19" s="678">
        <v>229</v>
      </c>
      <c r="K19" s="678">
        <v>236</v>
      </c>
      <c r="L19" s="678">
        <v>237</v>
      </c>
      <c r="M19" s="678">
        <v>240</v>
      </c>
      <c r="N19" s="678"/>
      <c r="O19" s="678">
        <v>148.83000000000001</v>
      </c>
      <c r="P19" s="678">
        <v>154.13999999999999</v>
      </c>
      <c r="Q19" s="678">
        <v>152.68</v>
      </c>
      <c r="R19" s="678">
        <v>158.43</v>
      </c>
      <c r="S19" s="678">
        <v>190.5</v>
      </c>
      <c r="T19" s="678">
        <v>150.78</v>
      </c>
      <c r="U19" s="678">
        <v>139.81</v>
      </c>
      <c r="V19" s="678">
        <v>139.77000000000001</v>
      </c>
      <c r="W19" s="678">
        <v>139.93</v>
      </c>
      <c r="X19" s="678">
        <v>138</v>
      </c>
    </row>
    <row r="20" spans="4:24" s="627" customFormat="1" ht="19.5" customHeight="1" x14ac:dyDescent="0.3">
      <c r="D20" s="676">
        <v>3</v>
      </c>
      <c r="E20" s="676">
        <v>500</v>
      </c>
      <c r="F20" s="676">
        <v>560</v>
      </c>
      <c r="G20" s="677">
        <v>462</v>
      </c>
      <c r="H20" s="678">
        <v>261</v>
      </c>
      <c r="I20" s="678">
        <v>261</v>
      </c>
      <c r="J20" s="678">
        <v>259</v>
      </c>
      <c r="K20" s="678">
        <v>266</v>
      </c>
      <c r="L20" s="678">
        <v>270</v>
      </c>
      <c r="M20" s="678">
        <v>271</v>
      </c>
      <c r="N20" s="678"/>
      <c r="O20" s="678">
        <v>170.14</v>
      </c>
      <c r="P20" s="678">
        <v>173.44</v>
      </c>
      <c r="Q20" s="678">
        <v>172.57</v>
      </c>
      <c r="R20" s="678">
        <v>177.31</v>
      </c>
      <c r="S20" s="678">
        <v>204.5</v>
      </c>
      <c r="T20" s="678">
        <v>171.13</v>
      </c>
      <c r="U20" s="678">
        <v>162.65</v>
      </c>
      <c r="V20" s="678">
        <v>163.13</v>
      </c>
      <c r="W20" s="678">
        <v>163</v>
      </c>
      <c r="X20" s="678">
        <v>162</v>
      </c>
    </row>
    <row r="21" spans="4:24" s="627" customFormat="1" ht="19.5" customHeight="1" x14ac:dyDescent="0.3">
      <c r="D21" s="676">
        <v>4</v>
      </c>
      <c r="E21" s="676">
        <v>500</v>
      </c>
      <c r="F21" s="676">
        <v>560</v>
      </c>
      <c r="G21" s="677">
        <v>489</v>
      </c>
      <c r="H21" s="678">
        <v>285</v>
      </c>
      <c r="I21" s="678">
        <v>288</v>
      </c>
      <c r="J21" s="678">
        <v>284</v>
      </c>
      <c r="K21" s="678">
        <v>290</v>
      </c>
      <c r="L21" s="678">
        <v>297</v>
      </c>
      <c r="M21" s="678">
        <v>298</v>
      </c>
      <c r="N21" s="678"/>
      <c r="O21" s="678">
        <v>185.01</v>
      </c>
      <c r="P21" s="678">
        <v>190.25</v>
      </c>
      <c r="Q21" s="678">
        <v>189.45</v>
      </c>
      <c r="R21" s="678">
        <v>194.12</v>
      </c>
      <c r="S21" s="678">
        <v>217.5</v>
      </c>
      <c r="T21" s="678">
        <v>186.47</v>
      </c>
      <c r="U21" s="678">
        <v>180.23</v>
      </c>
      <c r="V21" s="678">
        <v>181.27</v>
      </c>
      <c r="W21" s="678">
        <v>180.54</v>
      </c>
      <c r="X21" s="678">
        <v>179</v>
      </c>
    </row>
    <row r="22" spans="4:24" s="627" customFormat="1" ht="19.5" customHeight="1" x14ac:dyDescent="0.3">
      <c r="D22" s="676">
        <v>5</v>
      </c>
      <c r="E22" s="676">
        <v>500</v>
      </c>
      <c r="F22" s="676">
        <v>560</v>
      </c>
      <c r="G22" s="677">
        <v>510</v>
      </c>
      <c r="H22" s="678">
        <v>306</v>
      </c>
      <c r="I22" s="678">
        <v>309</v>
      </c>
      <c r="J22" s="678">
        <v>304</v>
      </c>
      <c r="K22" s="678">
        <v>310</v>
      </c>
      <c r="L22" s="678">
        <v>318</v>
      </c>
      <c r="M22" s="678">
        <v>318</v>
      </c>
      <c r="N22" s="678"/>
      <c r="O22" s="678">
        <v>199.54</v>
      </c>
      <c r="P22" s="678">
        <v>203.42</v>
      </c>
      <c r="Q22" s="678">
        <v>203.23</v>
      </c>
      <c r="R22" s="678">
        <v>207.74</v>
      </c>
      <c r="S22" s="678">
        <v>229</v>
      </c>
      <c r="T22" s="678">
        <v>201.61</v>
      </c>
      <c r="U22" s="678">
        <v>195.08</v>
      </c>
      <c r="V22" s="678">
        <v>197.13</v>
      </c>
      <c r="W22" s="678">
        <v>195.45</v>
      </c>
      <c r="X22" s="678">
        <v>194</v>
      </c>
    </row>
    <row r="23" spans="4:24" s="627" customFormat="1" ht="19.5" customHeight="1" x14ac:dyDescent="0.3">
      <c r="D23" s="676">
        <v>6</v>
      </c>
      <c r="E23" s="676">
        <v>500</v>
      </c>
      <c r="F23" s="676">
        <v>560</v>
      </c>
      <c r="G23" s="677">
        <v>518</v>
      </c>
      <c r="H23" s="678">
        <v>323</v>
      </c>
      <c r="I23" s="678">
        <v>328</v>
      </c>
      <c r="J23" s="678">
        <v>321</v>
      </c>
      <c r="K23" s="678">
        <v>327</v>
      </c>
      <c r="L23" s="678">
        <v>337</v>
      </c>
      <c r="M23" s="678">
        <v>336</v>
      </c>
      <c r="N23" s="678"/>
      <c r="O23" s="678">
        <v>211.85</v>
      </c>
      <c r="P23" s="678">
        <v>215.86</v>
      </c>
      <c r="Q23" s="678">
        <v>215.87</v>
      </c>
      <c r="R23" s="678">
        <v>220.1</v>
      </c>
      <c r="S23" s="678">
        <v>240</v>
      </c>
      <c r="T23" s="678">
        <v>214.77</v>
      </c>
      <c r="U23" s="678">
        <v>207.75</v>
      </c>
      <c r="V23" s="678">
        <v>209.1</v>
      </c>
      <c r="W23" s="678">
        <v>208.08</v>
      </c>
      <c r="X23" s="678">
        <v>207</v>
      </c>
    </row>
    <row r="24" spans="4:24" s="627" customFormat="1" ht="19.5" customHeight="1" x14ac:dyDescent="0.3">
      <c r="D24" s="676">
        <v>7</v>
      </c>
      <c r="E24" s="676">
        <v>500</v>
      </c>
      <c r="F24" s="676">
        <v>560</v>
      </c>
      <c r="G24" s="677">
        <v>525</v>
      </c>
      <c r="H24" s="678">
        <v>339</v>
      </c>
      <c r="I24" s="678">
        <v>344</v>
      </c>
      <c r="J24" s="678">
        <v>337</v>
      </c>
      <c r="K24" s="678">
        <v>342</v>
      </c>
      <c r="L24" s="678">
        <v>353</v>
      </c>
      <c r="M24" s="678">
        <v>352</v>
      </c>
      <c r="N24" s="678"/>
      <c r="O24" s="678">
        <v>222.31</v>
      </c>
      <c r="P24" s="678">
        <v>226.8</v>
      </c>
      <c r="Q24" s="678">
        <v>226.97</v>
      </c>
      <c r="R24" s="678">
        <v>231.49</v>
      </c>
      <c r="S24" s="678">
        <v>251</v>
      </c>
      <c r="T24" s="678">
        <v>226.44</v>
      </c>
      <c r="U24" s="678">
        <v>219.36</v>
      </c>
      <c r="V24" s="678">
        <v>220.51</v>
      </c>
      <c r="W24" s="678">
        <v>219.63</v>
      </c>
      <c r="X24" s="678">
        <v>218</v>
      </c>
    </row>
    <row r="25" spans="4:24" s="627" customFormat="1" ht="19.5" customHeight="1" x14ac:dyDescent="0.3">
      <c r="D25" s="676">
        <v>8</v>
      </c>
      <c r="E25" s="676">
        <v>500</v>
      </c>
      <c r="F25" s="676">
        <v>560</v>
      </c>
      <c r="G25" s="677">
        <v>533</v>
      </c>
      <c r="H25" s="678">
        <v>353</v>
      </c>
      <c r="I25" s="678">
        <v>359</v>
      </c>
      <c r="J25" s="678">
        <v>351</v>
      </c>
      <c r="K25" s="678">
        <v>355</v>
      </c>
      <c r="L25" s="678">
        <v>368</v>
      </c>
      <c r="M25" s="678">
        <v>367</v>
      </c>
      <c r="N25" s="678"/>
      <c r="O25" s="678">
        <v>232.37</v>
      </c>
      <c r="P25" s="678">
        <v>236.7</v>
      </c>
      <c r="Q25" s="678">
        <v>237.07</v>
      </c>
      <c r="R25" s="678">
        <v>241.99</v>
      </c>
      <c r="S25" s="678">
        <v>260</v>
      </c>
      <c r="T25" s="678">
        <v>236.98</v>
      </c>
      <c r="U25" s="678">
        <v>230.14</v>
      </c>
      <c r="V25" s="678">
        <v>231.51</v>
      </c>
      <c r="W25" s="678">
        <v>230.41</v>
      </c>
      <c r="X25" s="678">
        <v>229</v>
      </c>
    </row>
    <row r="26" spans="4:24" s="627" customFormat="1" ht="19.5" customHeight="1" x14ac:dyDescent="0.3">
      <c r="D26" s="676">
        <v>9</v>
      </c>
      <c r="E26" s="676">
        <v>500</v>
      </c>
      <c r="F26" s="676">
        <v>560</v>
      </c>
      <c r="G26" s="677">
        <v>538</v>
      </c>
      <c r="H26" s="678">
        <v>366</v>
      </c>
      <c r="I26" s="678">
        <v>373</v>
      </c>
      <c r="J26" s="678">
        <v>364</v>
      </c>
      <c r="K26" s="678">
        <v>369</v>
      </c>
      <c r="L26" s="678">
        <v>382</v>
      </c>
      <c r="M26" s="678">
        <v>380</v>
      </c>
      <c r="N26" s="678"/>
      <c r="O26" s="678">
        <v>242.16</v>
      </c>
      <c r="P26" s="678">
        <v>247.63</v>
      </c>
      <c r="Q26" s="678">
        <v>248.03</v>
      </c>
      <c r="R26" s="678">
        <v>251.72</v>
      </c>
      <c r="S26" s="678">
        <v>269</v>
      </c>
      <c r="T26" s="678">
        <v>248.45</v>
      </c>
      <c r="U26" s="678">
        <v>239.76</v>
      </c>
      <c r="V26" s="678">
        <v>241.52</v>
      </c>
      <c r="W26" s="678">
        <v>239.97</v>
      </c>
      <c r="X26" s="678">
        <v>239</v>
      </c>
    </row>
    <row r="27" spans="4:24" s="627" customFormat="1" ht="19.5" customHeight="1" x14ac:dyDescent="0.3">
      <c r="D27" s="676">
        <v>10</v>
      </c>
      <c r="E27" s="676">
        <v>500</v>
      </c>
      <c r="F27" s="676">
        <v>560</v>
      </c>
      <c r="G27" s="677">
        <v>543.5</v>
      </c>
      <c r="H27" s="678">
        <v>378</v>
      </c>
      <c r="I27" s="678">
        <v>386</v>
      </c>
      <c r="J27" s="678">
        <v>376</v>
      </c>
      <c r="K27" s="678">
        <v>380</v>
      </c>
      <c r="L27" s="678">
        <v>394</v>
      </c>
      <c r="M27" s="678">
        <v>392</v>
      </c>
      <c r="N27" s="678"/>
      <c r="O27" s="678">
        <v>251.34</v>
      </c>
      <c r="P27" s="678">
        <v>256.39</v>
      </c>
      <c r="Q27" s="678">
        <v>256.95999999999998</v>
      </c>
      <c r="R27" s="678">
        <v>260.95999999999998</v>
      </c>
      <c r="S27" s="678">
        <v>277.5</v>
      </c>
      <c r="T27" s="678">
        <v>257.93</v>
      </c>
      <c r="U27" s="678">
        <v>249.77</v>
      </c>
      <c r="V27" s="678">
        <v>251.17</v>
      </c>
      <c r="W27" s="678">
        <v>249.92</v>
      </c>
      <c r="X27" s="678">
        <v>249</v>
      </c>
    </row>
    <row r="28" spans="4:24" s="627" customFormat="1" ht="19.5" customHeight="1" x14ac:dyDescent="0.3">
      <c r="D28" s="676">
        <v>11</v>
      </c>
      <c r="E28" s="676">
        <v>500</v>
      </c>
      <c r="F28" s="676">
        <v>560</v>
      </c>
      <c r="G28" s="677">
        <v>548</v>
      </c>
      <c r="H28" s="678">
        <v>389</v>
      </c>
      <c r="I28" s="678">
        <v>398</v>
      </c>
      <c r="J28" s="678">
        <v>387</v>
      </c>
      <c r="K28" s="678">
        <v>391</v>
      </c>
      <c r="L28" s="678">
        <v>407</v>
      </c>
      <c r="M28" s="678">
        <v>404</v>
      </c>
      <c r="N28" s="678"/>
      <c r="O28" s="678">
        <v>259.73</v>
      </c>
      <c r="P28" s="678">
        <v>265.20999999999998</v>
      </c>
      <c r="Q28" s="678">
        <v>265.81</v>
      </c>
      <c r="R28" s="678">
        <v>269.26</v>
      </c>
      <c r="S28" s="678">
        <v>285.5</v>
      </c>
      <c r="T28" s="678">
        <v>267.47000000000003</v>
      </c>
      <c r="U28" s="678">
        <v>258.39999999999998</v>
      </c>
      <c r="V28" s="678">
        <v>259.89</v>
      </c>
      <c r="W28" s="678">
        <v>258.45</v>
      </c>
      <c r="X28" s="678">
        <v>257</v>
      </c>
    </row>
    <row r="29" spans="4:24" s="627" customFormat="1" ht="19.5" customHeight="1" x14ac:dyDescent="0.3">
      <c r="D29" s="676">
        <v>12</v>
      </c>
      <c r="E29" s="676">
        <v>500</v>
      </c>
      <c r="F29" s="676">
        <v>560</v>
      </c>
      <c r="G29" s="677">
        <v>553</v>
      </c>
      <c r="H29" s="678">
        <v>400</v>
      </c>
      <c r="I29" s="678">
        <v>410</v>
      </c>
      <c r="J29" s="678">
        <v>398</v>
      </c>
      <c r="K29" s="678">
        <v>402</v>
      </c>
      <c r="L29" s="678">
        <v>418</v>
      </c>
      <c r="M29" s="678">
        <v>416</v>
      </c>
      <c r="N29" s="678"/>
      <c r="O29" s="678">
        <v>268.02</v>
      </c>
      <c r="P29" s="678">
        <v>273.23</v>
      </c>
      <c r="Q29" s="678">
        <v>273.86</v>
      </c>
      <c r="R29" s="678">
        <v>277.69</v>
      </c>
      <c r="S29" s="678">
        <v>293</v>
      </c>
      <c r="T29" s="678">
        <v>275.91000000000003</v>
      </c>
      <c r="U29" s="678">
        <v>267.08</v>
      </c>
      <c r="V29" s="678">
        <v>268.35000000000002</v>
      </c>
      <c r="W29" s="678">
        <v>267.05</v>
      </c>
      <c r="X29" s="678">
        <v>266</v>
      </c>
    </row>
    <row r="30" spans="4:24" s="627" customFormat="1" ht="19.5" customHeight="1" x14ac:dyDescent="0.3">
      <c r="D30" s="676">
        <v>13</v>
      </c>
      <c r="E30" s="676">
        <v>500</v>
      </c>
      <c r="F30" s="676">
        <v>560</v>
      </c>
      <c r="G30" s="677">
        <v>556</v>
      </c>
      <c r="H30" s="678">
        <v>411</v>
      </c>
      <c r="I30" s="678">
        <v>421</v>
      </c>
      <c r="J30" s="678">
        <v>409</v>
      </c>
      <c r="K30" s="678">
        <v>412</v>
      </c>
      <c r="L30" s="678">
        <v>429</v>
      </c>
      <c r="M30" s="678">
        <v>427</v>
      </c>
      <c r="N30" s="678"/>
      <c r="O30" s="678">
        <v>275.39999999999998</v>
      </c>
      <c r="P30" s="678">
        <v>281.17</v>
      </c>
      <c r="Q30" s="678">
        <v>281.76</v>
      </c>
      <c r="R30" s="678">
        <v>285.26</v>
      </c>
      <c r="S30" s="678">
        <v>300</v>
      </c>
      <c r="T30" s="678">
        <v>284.27</v>
      </c>
      <c r="U30" s="678">
        <v>274.70999999999998</v>
      </c>
      <c r="V30" s="678">
        <v>276.24</v>
      </c>
      <c r="W30" s="678">
        <v>274.61</v>
      </c>
      <c r="X30" s="678">
        <v>274</v>
      </c>
    </row>
    <row r="31" spans="4:24" s="627" customFormat="1" ht="19.5" customHeight="1" x14ac:dyDescent="0.3">
      <c r="D31" s="676">
        <v>14</v>
      </c>
      <c r="E31" s="676">
        <v>500</v>
      </c>
      <c r="F31" s="676">
        <v>560</v>
      </c>
      <c r="G31" s="677">
        <v>560</v>
      </c>
      <c r="H31" s="678">
        <v>421</v>
      </c>
      <c r="I31" s="678">
        <v>431</v>
      </c>
      <c r="J31" s="678">
        <v>419</v>
      </c>
      <c r="K31" s="678">
        <v>422</v>
      </c>
      <c r="L31" s="678">
        <v>440</v>
      </c>
      <c r="M31" s="678">
        <v>437</v>
      </c>
      <c r="N31" s="678"/>
      <c r="O31" s="678">
        <v>282.79000000000002</v>
      </c>
      <c r="P31" s="678">
        <v>288.68</v>
      </c>
      <c r="Q31" s="678">
        <v>289.23</v>
      </c>
      <c r="R31" s="678">
        <v>292.89999999999998</v>
      </c>
      <c r="S31" s="678">
        <v>307</v>
      </c>
      <c r="T31" s="678">
        <v>292.07</v>
      </c>
      <c r="U31" s="678">
        <v>282.39</v>
      </c>
      <c r="V31" s="678">
        <v>283.89999999999998</v>
      </c>
      <c r="W31" s="678">
        <v>282.22000000000003</v>
      </c>
      <c r="X31" s="678">
        <v>283</v>
      </c>
    </row>
    <row r="32" spans="4:24" s="627" customFormat="1" ht="19.5" customHeight="1" x14ac:dyDescent="0.3">
      <c r="D32" s="676">
        <v>15</v>
      </c>
      <c r="E32" s="676">
        <v>500</v>
      </c>
      <c r="F32" s="676">
        <v>560</v>
      </c>
      <c r="G32" s="677">
        <v>563</v>
      </c>
      <c r="H32" s="678">
        <v>430</v>
      </c>
      <c r="I32" s="678">
        <v>442</v>
      </c>
      <c r="J32" s="678">
        <v>428</v>
      </c>
      <c r="K32" s="678">
        <v>432</v>
      </c>
      <c r="L32" s="678">
        <v>450</v>
      </c>
      <c r="M32" s="678">
        <v>447</v>
      </c>
      <c r="N32" s="678"/>
      <c r="O32" s="678">
        <v>289.75</v>
      </c>
      <c r="P32" s="678">
        <v>295.58</v>
      </c>
      <c r="Q32" s="678">
        <v>296.06</v>
      </c>
      <c r="R32" s="678">
        <v>299.66000000000003</v>
      </c>
      <c r="S32" s="678">
        <v>313.5</v>
      </c>
      <c r="T32" s="678">
        <v>299.20999999999998</v>
      </c>
      <c r="U32" s="678">
        <v>289.51</v>
      </c>
      <c r="V32" s="678">
        <v>291.12</v>
      </c>
      <c r="W32" s="678">
        <v>289.24</v>
      </c>
      <c r="X32" s="678">
        <v>290</v>
      </c>
    </row>
    <row r="33" spans="4:24" s="627" customFormat="1" ht="19.5" customHeight="1" x14ac:dyDescent="0.3">
      <c r="D33" s="676">
        <v>16</v>
      </c>
      <c r="E33" s="676">
        <v>500</v>
      </c>
      <c r="F33" s="676">
        <v>560</v>
      </c>
      <c r="G33" s="677">
        <v>566</v>
      </c>
      <c r="H33" s="678">
        <v>439</v>
      </c>
      <c r="I33" s="678">
        <v>451</v>
      </c>
      <c r="J33" s="678">
        <v>438</v>
      </c>
      <c r="K33" s="678">
        <v>441</v>
      </c>
      <c r="L33" s="678">
        <v>460</v>
      </c>
      <c r="M33" s="678">
        <v>457</v>
      </c>
      <c r="N33" s="678"/>
      <c r="O33" s="678">
        <v>296.07</v>
      </c>
      <c r="P33" s="678">
        <v>301.73</v>
      </c>
      <c r="Q33" s="678">
        <v>302.16000000000003</v>
      </c>
      <c r="R33" s="678">
        <v>306.08999999999997</v>
      </c>
      <c r="S33" s="678">
        <v>319.5</v>
      </c>
      <c r="T33" s="678">
        <v>305.83999999999997</v>
      </c>
      <c r="U33" s="678">
        <v>296.12</v>
      </c>
      <c r="V33" s="678">
        <v>297.76</v>
      </c>
      <c r="W33" s="678">
        <v>295.83999999999997</v>
      </c>
      <c r="X33" s="678">
        <v>297</v>
      </c>
    </row>
    <row r="34" spans="4:24" s="627" customFormat="1" ht="19.5" customHeight="1" x14ac:dyDescent="0.3">
      <c r="D34" s="676">
        <v>17</v>
      </c>
      <c r="E34" s="676">
        <v>500</v>
      </c>
      <c r="F34" s="676">
        <v>560</v>
      </c>
      <c r="G34" s="677">
        <v>569</v>
      </c>
      <c r="H34" s="678">
        <v>448</v>
      </c>
      <c r="I34" s="678">
        <v>461</v>
      </c>
      <c r="J34" s="678">
        <v>447</v>
      </c>
      <c r="K34" s="678">
        <v>449</v>
      </c>
      <c r="L34" s="678">
        <v>469</v>
      </c>
      <c r="M34" s="678">
        <v>466</v>
      </c>
      <c r="N34" s="678"/>
      <c r="O34" s="678">
        <v>301.81</v>
      </c>
      <c r="P34" s="678">
        <v>308.52999999999997</v>
      </c>
      <c r="Q34" s="678">
        <v>308.88</v>
      </c>
      <c r="R34" s="678">
        <v>312.62</v>
      </c>
      <c r="S34" s="678">
        <v>326</v>
      </c>
      <c r="T34" s="678">
        <v>312.67</v>
      </c>
      <c r="U34" s="678">
        <v>301.99</v>
      </c>
      <c r="V34" s="678">
        <v>303.61</v>
      </c>
      <c r="W34" s="678">
        <v>301.66000000000003</v>
      </c>
      <c r="X34" s="678">
        <v>304</v>
      </c>
    </row>
    <row r="35" spans="4:24" s="627" customFormat="1" ht="19.5" customHeight="1" x14ac:dyDescent="0.3">
      <c r="D35" s="676">
        <v>18</v>
      </c>
      <c r="E35" s="676">
        <v>500</v>
      </c>
      <c r="F35" s="676">
        <v>560</v>
      </c>
      <c r="G35" s="677">
        <v>572</v>
      </c>
      <c r="H35" s="678">
        <v>457</v>
      </c>
      <c r="I35" s="678">
        <v>470</v>
      </c>
      <c r="J35" s="678">
        <v>455</v>
      </c>
      <c r="K35" s="678">
        <v>458</v>
      </c>
      <c r="L35" s="678">
        <v>478</v>
      </c>
      <c r="M35" s="678">
        <v>475</v>
      </c>
      <c r="N35" s="678"/>
      <c r="O35" s="678">
        <v>308.24</v>
      </c>
      <c r="P35" s="678">
        <v>314.43</v>
      </c>
      <c r="Q35" s="678">
        <v>314.67</v>
      </c>
      <c r="R35" s="678">
        <v>318.37</v>
      </c>
      <c r="S35" s="678">
        <v>332</v>
      </c>
      <c r="T35" s="678">
        <v>318.7</v>
      </c>
      <c r="U35" s="678">
        <v>308.54000000000002</v>
      </c>
      <c r="V35" s="678">
        <v>310.04000000000002</v>
      </c>
      <c r="W35" s="678">
        <v>308.17</v>
      </c>
      <c r="X35" s="678">
        <v>311</v>
      </c>
    </row>
    <row r="36" spans="4:24" s="627" customFormat="1" ht="19.5" customHeight="1" x14ac:dyDescent="0.3">
      <c r="D36" s="676">
        <v>19</v>
      </c>
      <c r="E36" s="676">
        <v>500</v>
      </c>
      <c r="F36" s="676">
        <v>560</v>
      </c>
      <c r="G36" s="677">
        <v>575</v>
      </c>
      <c r="H36" s="678">
        <v>465</v>
      </c>
      <c r="I36" s="678">
        <v>479</v>
      </c>
      <c r="J36" s="678">
        <v>464</v>
      </c>
      <c r="K36" s="678">
        <v>466</v>
      </c>
      <c r="L36" s="678">
        <v>487</v>
      </c>
      <c r="M36" s="678">
        <v>483</v>
      </c>
      <c r="N36" s="678"/>
      <c r="O36" s="678">
        <v>314.02</v>
      </c>
      <c r="P36" s="678">
        <v>320.76</v>
      </c>
      <c r="Q36" s="678">
        <v>321.02999999999997</v>
      </c>
      <c r="R36" s="678">
        <v>324.67</v>
      </c>
      <c r="S36" s="678">
        <v>338</v>
      </c>
      <c r="T36" s="678">
        <v>325.36</v>
      </c>
      <c r="U36" s="678">
        <v>314.26</v>
      </c>
      <c r="V36" s="678">
        <v>315.44</v>
      </c>
      <c r="W36" s="678">
        <v>314</v>
      </c>
      <c r="X36" s="678">
        <v>316</v>
      </c>
    </row>
    <row r="37" spans="4:24" s="627" customFormat="1" ht="19.5" customHeight="1" x14ac:dyDescent="0.3">
      <c r="D37" s="676">
        <v>20</v>
      </c>
      <c r="E37" s="676">
        <v>500</v>
      </c>
      <c r="F37" s="676">
        <v>560</v>
      </c>
      <c r="G37" s="677">
        <v>578</v>
      </c>
      <c r="H37" s="678">
        <v>473</v>
      </c>
      <c r="I37" s="678">
        <v>487</v>
      </c>
      <c r="J37" s="678">
        <v>472</v>
      </c>
      <c r="K37" s="678">
        <v>474</v>
      </c>
      <c r="L37" s="678">
        <v>495</v>
      </c>
      <c r="M37" s="678">
        <v>491</v>
      </c>
      <c r="N37" s="678"/>
      <c r="O37" s="678">
        <v>319.83999999999997</v>
      </c>
      <c r="P37" s="678">
        <v>327.08999999999997</v>
      </c>
      <c r="Q37" s="678">
        <v>327.3</v>
      </c>
      <c r="R37" s="678">
        <v>330.23</v>
      </c>
      <c r="S37" s="678">
        <v>343.5</v>
      </c>
      <c r="T37" s="678">
        <v>331.18</v>
      </c>
      <c r="U37" s="678">
        <v>320.35000000000002</v>
      </c>
      <c r="V37" s="678">
        <v>321.87</v>
      </c>
      <c r="W37" s="678">
        <v>319.86</v>
      </c>
      <c r="X37" s="678">
        <v>323</v>
      </c>
    </row>
    <row r="38" spans="4:24" s="627" customFormat="1" ht="19.5" customHeight="1" x14ac:dyDescent="0.3">
      <c r="D38" s="676">
        <v>21</v>
      </c>
      <c r="E38" s="676">
        <v>500</v>
      </c>
      <c r="F38" s="676">
        <v>560</v>
      </c>
      <c r="G38" s="677">
        <v>581</v>
      </c>
      <c r="H38" s="678">
        <v>481</v>
      </c>
      <c r="I38" s="678">
        <v>495</v>
      </c>
      <c r="J38" s="678">
        <v>480</v>
      </c>
      <c r="K38" s="678">
        <v>482</v>
      </c>
      <c r="L38" s="678">
        <v>502</v>
      </c>
      <c r="M38" s="678">
        <v>499</v>
      </c>
      <c r="N38" s="678"/>
      <c r="O38" s="678">
        <v>325.8</v>
      </c>
      <c r="P38" s="678">
        <v>332.57</v>
      </c>
      <c r="Q38" s="678">
        <v>332.78</v>
      </c>
      <c r="R38" s="678">
        <v>336.37</v>
      </c>
      <c r="S38" s="678">
        <v>349</v>
      </c>
      <c r="T38" s="678">
        <v>337.41</v>
      </c>
      <c r="U38" s="678">
        <v>326.5</v>
      </c>
      <c r="V38" s="678">
        <v>327.81</v>
      </c>
      <c r="W38" s="678">
        <v>325.86</v>
      </c>
      <c r="X38" s="678">
        <v>328</v>
      </c>
    </row>
    <row r="39" spans="4:24" s="627" customFormat="1" ht="19.5" customHeight="1" x14ac:dyDescent="0.3">
      <c r="D39" s="676">
        <v>22</v>
      </c>
      <c r="E39" s="676">
        <v>500</v>
      </c>
      <c r="F39" s="676">
        <v>560</v>
      </c>
      <c r="G39" s="677">
        <v>584</v>
      </c>
      <c r="H39" s="678">
        <v>488</v>
      </c>
      <c r="I39" s="678">
        <v>502</v>
      </c>
      <c r="J39" s="678">
        <v>487</v>
      </c>
      <c r="K39" s="678">
        <v>489</v>
      </c>
      <c r="L39" s="678">
        <v>509</v>
      </c>
      <c r="M39" s="678">
        <v>506</v>
      </c>
      <c r="N39" s="678"/>
      <c r="O39" s="678">
        <v>330.94</v>
      </c>
      <c r="P39" s="678">
        <v>338.35</v>
      </c>
      <c r="Q39" s="678">
        <v>338.53</v>
      </c>
      <c r="R39" s="678">
        <v>341.91</v>
      </c>
      <c r="S39" s="678">
        <v>354.5</v>
      </c>
      <c r="T39" s="678">
        <v>342.94</v>
      </c>
      <c r="U39" s="678">
        <v>331.73</v>
      </c>
      <c r="V39" s="678">
        <v>333.46</v>
      </c>
      <c r="W39" s="678">
        <v>330.99</v>
      </c>
      <c r="X39" s="678">
        <v>335</v>
      </c>
    </row>
    <row r="40" spans="4:24" s="627" customFormat="1" ht="19.5" customHeight="1" x14ac:dyDescent="0.3">
      <c r="D40" s="676">
        <v>23</v>
      </c>
      <c r="E40" s="676">
        <v>500</v>
      </c>
      <c r="F40" s="676">
        <v>560</v>
      </c>
      <c r="G40" s="677">
        <v>587</v>
      </c>
      <c r="H40" s="678">
        <v>496</v>
      </c>
      <c r="I40" s="678">
        <v>509</v>
      </c>
      <c r="J40" s="678">
        <v>495</v>
      </c>
      <c r="K40" s="678">
        <v>496</v>
      </c>
      <c r="L40" s="678">
        <v>516</v>
      </c>
      <c r="M40" s="678">
        <v>513</v>
      </c>
      <c r="N40" s="678"/>
      <c r="O40" s="678">
        <v>336.61</v>
      </c>
      <c r="P40" s="678">
        <v>343.58</v>
      </c>
      <c r="Q40" s="678">
        <v>343.73</v>
      </c>
      <c r="R40" s="678">
        <v>347.34</v>
      </c>
      <c r="S40" s="678">
        <v>360</v>
      </c>
      <c r="T40" s="678">
        <v>348.79</v>
      </c>
      <c r="U40" s="678">
        <v>337.36</v>
      </c>
      <c r="V40" s="678">
        <v>339.14</v>
      </c>
      <c r="W40" s="678">
        <v>336.7</v>
      </c>
      <c r="X40" s="678">
        <v>340</v>
      </c>
    </row>
    <row r="41" spans="4:24" s="627" customFormat="1" ht="19.5" customHeight="1" x14ac:dyDescent="0.3">
      <c r="D41" s="676">
        <v>24</v>
      </c>
      <c r="E41" s="676">
        <v>500</v>
      </c>
      <c r="F41" s="676">
        <v>560</v>
      </c>
      <c r="G41" s="677">
        <v>590</v>
      </c>
      <c r="H41" s="678">
        <v>502</v>
      </c>
      <c r="I41" s="678">
        <v>516</v>
      </c>
      <c r="J41" s="678">
        <v>501</v>
      </c>
      <c r="K41" s="678">
        <v>503</v>
      </c>
      <c r="L41" s="678">
        <v>523</v>
      </c>
      <c r="M41" s="678">
        <v>519</v>
      </c>
      <c r="N41" s="678"/>
      <c r="O41" s="678">
        <v>341.85</v>
      </c>
      <c r="P41" s="678">
        <v>349.13</v>
      </c>
      <c r="Q41" s="678">
        <v>349.23</v>
      </c>
      <c r="R41" s="678">
        <v>352.79</v>
      </c>
      <c r="S41" s="678">
        <v>365</v>
      </c>
      <c r="T41" s="678">
        <v>354.25</v>
      </c>
      <c r="U41" s="678">
        <v>342.46</v>
      </c>
      <c r="V41" s="678">
        <v>344.22</v>
      </c>
      <c r="W41" s="678">
        <v>341.89</v>
      </c>
      <c r="X41" s="678">
        <v>346</v>
      </c>
    </row>
    <row r="42" spans="4:24" s="627" customFormat="1" ht="19.5" customHeight="1" x14ac:dyDescent="0.3">
      <c r="D42" s="676">
        <v>25</v>
      </c>
      <c r="E42" s="676">
        <v>500</v>
      </c>
      <c r="F42" s="676">
        <v>560</v>
      </c>
      <c r="G42" s="677">
        <v>593</v>
      </c>
      <c r="H42" s="678">
        <v>508</v>
      </c>
      <c r="I42" s="678">
        <v>522</v>
      </c>
      <c r="J42" s="678">
        <v>507</v>
      </c>
      <c r="K42" s="678">
        <v>509</v>
      </c>
      <c r="L42" s="678">
        <v>529</v>
      </c>
      <c r="M42" s="678">
        <v>525</v>
      </c>
      <c r="N42" s="678"/>
      <c r="O42" s="678">
        <v>346.94</v>
      </c>
      <c r="P42" s="678">
        <v>354.33</v>
      </c>
      <c r="Q42" s="678">
        <v>354.39</v>
      </c>
      <c r="R42" s="678">
        <v>357.73</v>
      </c>
      <c r="S42" s="678">
        <v>370</v>
      </c>
      <c r="T42" s="678">
        <v>359.58</v>
      </c>
      <c r="U42" s="678">
        <v>347.79</v>
      </c>
      <c r="V42" s="678">
        <v>349.56</v>
      </c>
      <c r="W42" s="678">
        <v>347</v>
      </c>
      <c r="X42" s="678">
        <v>352</v>
      </c>
    </row>
    <row r="43" spans="4:24" s="627" customFormat="1" ht="19.5" customHeight="1" x14ac:dyDescent="0.3">
      <c r="D43" s="676">
        <v>26</v>
      </c>
      <c r="E43" s="676">
        <v>500</v>
      </c>
      <c r="F43" s="676">
        <v>560</v>
      </c>
      <c r="G43" s="677">
        <v>595</v>
      </c>
      <c r="H43" s="678">
        <v>515</v>
      </c>
      <c r="I43" s="678">
        <v>528</v>
      </c>
      <c r="J43" s="678">
        <v>513</v>
      </c>
      <c r="K43" s="678">
        <v>515</v>
      </c>
      <c r="L43" s="678">
        <v>534</v>
      </c>
      <c r="M43" s="678">
        <v>531</v>
      </c>
      <c r="N43" s="678"/>
      <c r="O43" s="678">
        <v>352.09</v>
      </c>
      <c r="P43" s="678">
        <v>359.45</v>
      </c>
      <c r="Q43" s="678">
        <v>359.48</v>
      </c>
      <c r="R43" s="678">
        <v>362.67</v>
      </c>
      <c r="S43" s="678">
        <v>375</v>
      </c>
      <c r="T43" s="678">
        <v>364.73</v>
      </c>
      <c r="U43" s="678">
        <v>353.01</v>
      </c>
      <c r="V43" s="678">
        <v>354.49</v>
      </c>
      <c r="W43" s="678">
        <v>352.13</v>
      </c>
      <c r="X43" s="678">
        <v>357</v>
      </c>
    </row>
    <row r="44" spans="4:24" s="627" customFormat="1" ht="19.5" customHeight="1" x14ac:dyDescent="0.3">
      <c r="D44" s="676">
        <v>27</v>
      </c>
      <c r="E44" s="676">
        <v>500</v>
      </c>
      <c r="F44" s="676">
        <v>560</v>
      </c>
      <c r="G44" s="677">
        <v>598</v>
      </c>
      <c r="H44" s="678">
        <v>521</v>
      </c>
      <c r="I44" s="678">
        <v>534</v>
      </c>
      <c r="J44" s="678">
        <v>519</v>
      </c>
      <c r="K44" s="678">
        <v>521</v>
      </c>
      <c r="L44" s="678">
        <v>540</v>
      </c>
      <c r="M44" s="678">
        <v>536</v>
      </c>
      <c r="N44" s="678"/>
      <c r="O44" s="678">
        <v>356.68</v>
      </c>
      <c r="P44" s="678">
        <v>364.34</v>
      </c>
      <c r="Q44" s="678">
        <v>364.34</v>
      </c>
      <c r="R44" s="678">
        <v>367.52</v>
      </c>
      <c r="S44" s="678">
        <v>380</v>
      </c>
      <c r="T44" s="678">
        <v>369.85</v>
      </c>
      <c r="U44" s="678">
        <v>357.7</v>
      </c>
      <c r="V44" s="678">
        <v>359.6</v>
      </c>
      <c r="W44" s="678">
        <v>356.65</v>
      </c>
      <c r="X44" s="678">
        <v>362</v>
      </c>
    </row>
    <row r="45" spans="4:24" s="627" customFormat="1" ht="19.5" customHeight="1" x14ac:dyDescent="0.3">
      <c r="D45" s="676">
        <v>28</v>
      </c>
      <c r="E45" s="676">
        <v>500</v>
      </c>
      <c r="F45" s="676">
        <v>560</v>
      </c>
      <c r="G45" s="677">
        <v>600</v>
      </c>
      <c r="H45" s="678">
        <v>526</v>
      </c>
      <c r="I45" s="678">
        <v>539</v>
      </c>
      <c r="J45" s="678">
        <v>525</v>
      </c>
      <c r="K45" s="678">
        <v>526</v>
      </c>
      <c r="L45" s="678">
        <v>545</v>
      </c>
      <c r="M45" s="678">
        <v>541</v>
      </c>
      <c r="N45" s="678"/>
      <c r="O45" s="678">
        <v>361.55</v>
      </c>
      <c r="P45" s="678">
        <v>369.2</v>
      </c>
      <c r="Q45" s="678">
        <v>369.2</v>
      </c>
      <c r="R45" s="678">
        <v>372.77</v>
      </c>
      <c r="S45" s="678">
        <v>385</v>
      </c>
      <c r="T45" s="678">
        <v>375.07</v>
      </c>
      <c r="U45" s="678">
        <v>362.41</v>
      </c>
      <c r="V45" s="678">
        <v>364.4</v>
      </c>
      <c r="W45" s="678">
        <v>361.5</v>
      </c>
      <c r="X45" s="678">
        <v>367</v>
      </c>
    </row>
    <row r="46" spans="4:24" s="627" customFormat="1" ht="19.5" customHeight="1" x14ac:dyDescent="0.3">
      <c r="D46" s="676">
        <v>29</v>
      </c>
      <c r="E46" s="676">
        <v>500</v>
      </c>
      <c r="F46" s="676">
        <v>560</v>
      </c>
      <c r="G46" s="677">
        <v>602</v>
      </c>
      <c r="H46" s="678">
        <v>531</v>
      </c>
      <c r="I46" s="678">
        <v>544</v>
      </c>
      <c r="J46" s="678">
        <v>530</v>
      </c>
      <c r="K46" s="678">
        <v>531</v>
      </c>
      <c r="L46" s="678">
        <v>550</v>
      </c>
      <c r="M46" s="678">
        <v>546</v>
      </c>
      <c r="N46" s="678"/>
      <c r="O46" s="678">
        <v>366.32</v>
      </c>
      <c r="P46" s="678">
        <v>374.25</v>
      </c>
      <c r="Q46" s="678">
        <v>374.25</v>
      </c>
      <c r="R46" s="678">
        <v>377.62</v>
      </c>
      <c r="S46" s="678">
        <v>390</v>
      </c>
      <c r="T46" s="678">
        <v>379.85</v>
      </c>
      <c r="U46" s="678">
        <v>367.06</v>
      </c>
      <c r="V46" s="678">
        <v>369.17</v>
      </c>
      <c r="W46" s="678">
        <v>366.16</v>
      </c>
      <c r="X46" s="678">
        <v>372</v>
      </c>
    </row>
    <row r="47" spans="4:24" s="627" customFormat="1" ht="19.5" customHeight="1" x14ac:dyDescent="0.3">
      <c r="D47" s="676">
        <v>30</v>
      </c>
      <c r="E47" s="676">
        <v>500</v>
      </c>
      <c r="F47" s="676">
        <v>560</v>
      </c>
      <c r="G47" s="677">
        <v>606</v>
      </c>
      <c r="H47" s="678">
        <v>536</v>
      </c>
      <c r="I47" s="678">
        <v>549</v>
      </c>
      <c r="J47" s="678">
        <v>535</v>
      </c>
      <c r="K47" s="678">
        <v>536</v>
      </c>
      <c r="L47" s="678">
        <v>555</v>
      </c>
      <c r="M47" s="678">
        <v>551</v>
      </c>
      <c r="N47" s="678"/>
      <c r="O47" s="678">
        <v>371.15</v>
      </c>
      <c r="P47" s="678">
        <v>378.86</v>
      </c>
      <c r="Q47" s="678">
        <v>378.86</v>
      </c>
      <c r="R47" s="678">
        <v>382.45</v>
      </c>
      <c r="S47" s="678">
        <v>395</v>
      </c>
      <c r="T47" s="678">
        <v>385.13</v>
      </c>
      <c r="U47" s="678">
        <v>372.08</v>
      </c>
      <c r="V47" s="678">
        <v>374.13</v>
      </c>
      <c r="W47" s="678">
        <v>370.94</v>
      </c>
      <c r="X47" s="678">
        <v>377</v>
      </c>
    </row>
    <row r="48" spans="4:24" s="627" customFormat="1" ht="19.5" customHeight="1" x14ac:dyDescent="0.3">
      <c r="D48" s="676">
        <v>31</v>
      </c>
      <c r="E48" s="676">
        <v>500</v>
      </c>
      <c r="F48" s="676">
        <v>560</v>
      </c>
      <c r="G48" s="677">
        <v>609</v>
      </c>
      <c r="H48" s="678">
        <v>541</v>
      </c>
      <c r="I48" s="678">
        <v>554</v>
      </c>
      <c r="J48" s="678">
        <v>540</v>
      </c>
      <c r="K48" s="678">
        <v>540</v>
      </c>
      <c r="L48" s="678">
        <v>559</v>
      </c>
      <c r="M48" s="678">
        <v>555</v>
      </c>
      <c r="N48" s="678"/>
      <c r="O48" s="678">
        <v>375.92</v>
      </c>
      <c r="P48" s="678">
        <v>383.9</v>
      </c>
      <c r="Q48" s="678">
        <v>383.9</v>
      </c>
      <c r="R48" s="678">
        <v>387.42</v>
      </c>
      <c r="S48" s="678">
        <v>399.5</v>
      </c>
      <c r="T48" s="678">
        <v>389.93</v>
      </c>
      <c r="U48" s="678">
        <v>376.84</v>
      </c>
      <c r="V48" s="678">
        <v>378.64</v>
      </c>
      <c r="W48" s="678">
        <v>375.65</v>
      </c>
      <c r="X48" s="678">
        <v>382</v>
      </c>
    </row>
    <row r="49" spans="4:24" s="627" customFormat="1" ht="19.5" customHeight="1" x14ac:dyDescent="0.3">
      <c r="D49" s="676">
        <v>32</v>
      </c>
      <c r="E49" s="676">
        <v>500</v>
      </c>
      <c r="F49" s="676">
        <v>560</v>
      </c>
      <c r="G49" s="677">
        <v>611</v>
      </c>
      <c r="H49" s="678">
        <v>545</v>
      </c>
      <c r="I49" s="678">
        <v>558</v>
      </c>
      <c r="J49" s="678">
        <v>544</v>
      </c>
      <c r="K49" s="678">
        <v>545</v>
      </c>
      <c r="L49" s="678">
        <v>563</v>
      </c>
      <c r="M49" s="678">
        <v>560</v>
      </c>
      <c r="N49" s="678"/>
      <c r="O49" s="678">
        <v>380.32</v>
      </c>
      <c r="P49" s="678">
        <v>388.7</v>
      </c>
      <c r="Q49" s="678">
        <v>388.7</v>
      </c>
      <c r="R49" s="678">
        <v>392.11</v>
      </c>
      <c r="S49" s="678">
        <v>404.5</v>
      </c>
      <c r="T49" s="678">
        <v>394.97</v>
      </c>
      <c r="U49" s="678">
        <v>381.32</v>
      </c>
      <c r="V49" s="678">
        <v>383.65</v>
      </c>
      <c r="W49" s="678">
        <v>379.96</v>
      </c>
      <c r="X49" s="678">
        <v>388</v>
      </c>
    </row>
    <row r="50" spans="4:24" s="627" customFormat="1" ht="19.5" customHeight="1" x14ac:dyDescent="0.3">
      <c r="D50" s="676">
        <v>33</v>
      </c>
      <c r="E50" s="676">
        <v>500</v>
      </c>
      <c r="F50" s="676">
        <v>560</v>
      </c>
      <c r="G50" s="677">
        <v>614</v>
      </c>
      <c r="H50" s="678">
        <v>550</v>
      </c>
      <c r="I50" s="678">
        <v>562</v>
      </c>
      <c r="J50" s="678">
        <v>548</v>
      </c>
      <c r="K50" s="678">
        <v>549</v>
      </c>
      <c r="L50" s="678">
        <v>567</v>
      </c>
      <c r="M50" s="678">
        <v>564</v>
      </c>
      <c r="N50" s="678"/>
      <c r="O50" s="678">
        <v>385.18</v>
      </c>
      <c r="P50" s="678">
        <v>393.42</v>
      </c>
      <c r="Q50" s="678">
        <v>393.42</v>
      </c>
      <c r="R50" s="678">
        <v>396.91</v>
      </c>
      <c r="S50" s="678">
        <v>409</v>
      </c>
      <c r="T50" s="678">
        <v>399.64</v>
      </c>
      <c r="U50" s="678">
        <v>386.12</v>
      </c>
      <c r="V50" s="678">
        <v>388.38</v>
      </c>
      <c r="W50" s="678">
        <v>384.79</v>
      </c>
      <c r="X50" s="678">
        <v>392</v>
      </c>
    </row>
    <row r="51" spans="4:24" s="627" customFormat="1" ht="19.5" customHeight="1" x14ac:dyDescent="0.3">
      <c r="D51" s="676">
        <v>34</v>
      </c>
      <c r="E51" s="676">
        <v>500</v>
      </c>
      <c r="F51" s="676">
        <v>560</v>
      </c>
      <c r="G51" s="677">
        <v>617</v>
      </c>
      <c r="H51" s="678">
        <v>554</v>
      </c>
      <c r="I51" s="678">
        <v>566</v>
      </c>
      <c r="J51" s="678">
        <v>553</v>
      </c>
      <c r="K51" s="678">
        <v>554</v>
      </c>
      <c r="L51" s="678">
        <v>571</v>
      </c>
      <c r="M51" s="678">
        <v>568</v>
      </c>
      <c r="N51" s="678"/>
      <c r="O51" s="678">
        <v>389.65</v>
      </c>
      <c r="P51" s="678">
        <v>398.17</v>
      </c>
      <c r="Q51" s="678">
        <v>398.17</v>
      </c>
      <c r="R51" s="678">
        <v>401.29</v>
      </c>
      <c r="S51" s="678">
        <v>414</v>
      </c>
      <c r="T51" s="678">
        <v>404.54</v>
      </c>
      <c r="U51" s="678">
        <v>390.59</v>
      </c>
      <c r="V51" s="678">
        <v>393.05</v>
      </c>
      <c r="W51" s="678">
        <v>389.18</v>
      </c>
      <c r="X51" s="678">
        <v>397</v>
      </c>
    </row>
    <row r="52" spans="4:24" s="627" customFormat="1" ht="19.5" customHeight="1" x14ac:dyDescent="0.3">
      <c r="D52" s="676">
        <v>35</v>
      </c>
      <c r="E52" s="676">
        <v>500</v>
      </c>
      <c r="F52" s="676">
        <v>560</v>
      </c>
      <c r="G52" s="677">
        <v>620</v>
      </c>
      <c r="H52" s="678">
        <v>558</v>
      </c>
      <c r="I52" s="678">
        <v>570</v>
      </c>
      <c r="J52" s="678">
        <v>557</v>
      </c>
      <c r="K52" s="678">
        <v>558</v>
      </c>
      <c r="L52" s="678">
        <v>575</v>
      </c>
      <c r="M52" s="678">
        <v>571</v>
      </c>
      <c r="N52" s="678"/>
      <c r="O52" s="678">
        <v>394.33</v>
      </c>
      <c r="P52" s="678">
        <v>402.57</v>
      </c>
      <c r="Q52" s="678">
        <v>402.57</v>
      </c>
      <c r="R52" s="678">
        <v>406.19</v>
      </c>
      <c r="S52" s="678">
        <v>418.5</v>
      </c>
      <c r="T52" s="678">
        <v>409.41</v>
      </c>
      <c r="U52" s="678">
        <v>395.27</v>
      </c>
      <c r="V52" s="678">
        <v>397.79</v>
      </c>
      <c r="W52" s="678">
        <v>393.79</v>
      </c>
      <c r="X52" s="678">
        <v>402</v>
      </c>
    </row>
    <row r="53" spans="4:24" s="627" customFormat="1" ht="19.5" customHeight="1" x14ac:dyDescent="0.3">
      <c r="D53" s="676">
        <v>36</v>
      </c>
      <c r="E53" s="676">
        <v>500</v>
      </c>
      <c r="F53" s="676">
        <v>560</v>
      </c>
      <c r="G53" s="677">
        <v>622</v>
      </c>
      <c r="H53" s="678">
        <v>562</v>
      </c>
      <c r="I53" s="678">
        <v>574</v>
      </c>
      <c r="J53" s="678">
        <v>561</v>
      </c>
      <c r="K53" s="678">
        <v>561</v>
      </c>
      <c r="L53" s="678">
        <v>579</v>
      </c>
      <c r="M53" s="678">
        <v>575</v>
      </c>
      <c r="N53" s="678"/>
      <c r="O53" s="678">
        <v>398.8</v>
      </c>
      <c r="P53" s="678">
        <v>407.41</v>
      </c>
      <c r="Q53" s="678">
        <v>407.41</v>
      </c>
      <c r="R53" s="678">
        <v>410.76</v>
      </c>
      <c r="S53" s="678">
        <v>423.5</v>
      </c>
      <c r="T53" s="678">
        <v>414.16</v>
      </c>
      <c r="U53" s="678">
        <v>399.61</v>
      </c>
      <c r="V53" s="678">
        <v>402.15</v>
      </c>
      <c r="W53" s="678">
        <v>398.29</v>
      </c>
      <c r="X53" s="678">
        <v>407</v>
      </c>
    </row>
    <row r="54" spans="4:24" s="627" customFormat="1" ht="19.5" customHeight="1" x14ac:dyDescent="0.3">
      <c r="D54" s="676">
        <v>37</v>
      </c>
      <c r="E54" s="676">
        <v>500</v>
      </c>
      <c r="F54" s="676">
        <v>560</v>
      </c>
      <c r="G54" s="677">
        <v>626</v>
      </c>
      <c r="H54" s="678">
        <v>566</v>
      </c>
      <c r="I54" s="678">
        <v>578</v>
      </c>
      <c r="J54" s="678">
        <v>565</v>
      </c>
      <c r="K54" s="678">
        <v>565</v>
      </c>
      <c r="L54" s="678">
        <v>583</v>
      </c>
      <c r="M54" s="678">
        <v>579</v>
      </c>
      <c r="N54" s="678"/>
      <c r="O54" s="678">
        <v>403.16</v>
      </c>
      <c r="P54" s="678">
        <v>411.91</v>
      </c>
      <c r="Q54" s="678">
        <v>411.91</v>
      </c>
      <c r="R54" s="678">
        <v>415.5</v>
      </c>
      <c r="S54" s="678">
        <v>428</v>
      </c>
      <c r="T54" s="678">
        <v>419.01</v>
      </c>
      <c r="U54" s="678">
        <v>404.2</v>
      </c>
      <c r="V54" s="678">
        <v>406.93</v>
      </c>
      <c r="W54" s="678">
        <v>402.54</v>
      </c>
      <c r="X54" s="678">
        <v>412</v>
      </c>
    </row>
    <row r="55" spans="4:24" s="627" customFormat="1" ht="19.5" customHeight="1" x14ac:dyDescent="0.3">
      <c r="D55" s="676">
        <v>38</v>
      </c>
      <c r="E55" s="676">
        <v>500</v>
      </c>
      <c r="F55" s="676">
        <v>560</v>
      </c>
      <c r="G55" s="677">
        <v>630</v>
      </c>
      <c r="H55" s="678">
        <v>569</v>
      </c>
      <c r="I55" s="678">
        <v>582</v>
      </c>
      <c r="J55" s="678">
        <v>568</v>
      </c>
      <c r="K55" s="678">
        <v>569</v>
      </c>
      <c r="L55" s="678">
        <v>587</v>
      </c>
      <c r="M55" s="678">
        <v>583</v>
      </c>
      <c r="N55" s="678"/>
      <c r="O55" s="678">
        <v>407.81</v>
      </c>
      <c r="P55" s="678">
        <v>416.63</v>
      </c>
      <c r="Q55" s="678">
        <v>416.63</v>
      </c>
      <c r="R55" s="678">
        <v>420.11</v>
      </c>
      <c r="S55" s="678">
        <v>433</v>
      </c>
      <c r="T55" s="678">
        <v>423.74</v>
      </c>
      <c r="U55" s="678">
        <v>408.85</v>
      </c>
      <c r="V55" s="678">
        <v>411.43</v>
      </c>
      <c r="W55" s="678">
        <v>407.13</v>
      </c>
      <c r="X55" s="678">
        <v>417</v>
      </c>
    </row>
    <row r="56" spans="4:24" s="627" customFormat="1" ht="19.5" customHeight="1" x14ac:dyDescent="0.3">
      <c r="D56" s="676">
        <v>39</v>
      </c>
      <c r="E56" s="676">
        <v>500</v>
      </c>
      <c r="F56" s="676">
        <v>560</v>
      </c>
      <c r="G56" s="677">
        <v>632</v>
      </c>
      <c r="H56" s="678">
        <v>573</v>
      </c>
      <c r="I56" s="678">
        <v>586</v>
      </c>
      <c r="J56" s="678">
        <v>572</v>
      </c>
      <c r="K56" s="678">
        <v>572</v>
      </c>
      <c r="L56" s="678">
        <v>591</v>
      </c>
      <c r="M56" s="678">
        <v>587</v>
      </c>
      <c r="N56" s="678"/>
      <c r="O56" s="678">
        <v>412.14</v>
      </c>
      <c r="P56" s="678">
        <v>421.22</v>
      </c>
      <c r="Q56" s="678">
        <v>421.22</v>
      </c>
      <c r="R56" s="678">
        <v>423.95</v>
      </c>
      <c r="S56" s="678">
        <v>438</v>
      </c>
      <c r="T56" s="678">
        <v>428.56</v>
      </c>
      <c r="U56" s="678">
        <v>413.26</v>
      </c>
      <c r="V56" s="678">
        <v>416.14</v>
      </c>
      <c r="W56" s="678">
        <v>411.43</v>
      </c>
      <c r="X56" s="678">
        <v>422</v>
      </c>
    </row>
    <row r="57" spans="4:24" s="627" customFormat="1" ht="19.5" customHeight="1" x14ac:dyDescent="0.3">
      <c r="D57" s="676">
        <v>40</v>
      </c>
      <c r="E57" s="676">
        <v>500</v>
      </c>
      <c r="F57" s="676">
        <v>560</v>
      </c>
      <c r="G57" s="677">
        <v>635</v>
      </c>
      <c r="H57" s="678">
        <v>576</v>
      </c>
      <c r="I57" s="678">
        <v>590</v>
      </c>
      <c r="J57" s="678">
        <v>575</v>
      </c>
      <c r="K57" s="678">
        <v>576</v>
      </c>
      <c r="L57" s="678">
        <v>595</v>
      </c>
      <c r="M57" s="678">
        <v>591</v>
      </c>
      <c r="N57" s="678"/>
      <c r="O57" s="678">
        <v>416.68</v>
      </c>
      <c r="P57" s="678">
        <v>425.72</v>
      </c>
      <c r="Q57" s="678">
        <v>425.72</v>
      </c>
      <c r="R57" s="678">
        <v>428.4</v>
      </c>
      <c r="S57" s="678">
        <v>442.5</v>
      </c>
      <c r="T57" s="678">
        <v>433.45</v>
      </c>
      <c r="U57" s="678">
        <v>417.88</v>
      </c>
      <c r="V57" s="678">
        <v>420.71</v>
      </c>
      <c r="W57" s="678">
        <v>415.96</v>
      </c>
      <c r="X57" s="678">
        <v>427</v>
      </c>
    </row>
    <row r="58" spans="4:24" s="627" customFormat="1" ht="18.75" customHeight="1" x14ac:dyDescent="0.3">
      <c r="D58" s="676">
        <v>41</v>
      </c>
      <c r="E58" s="676">
        <v>500</v>
      </c>
      <c r="F58" s="676">
        <v>560</v>
      </c>
      <c r="G58" s="677">
        <v>638</v>
      </c>
      <c r="H58" s="678">
        <v>580</v>
      </c>
      <c r="I58" s="678">
        <v>594</v>
      </c>
      <c r="J58" s="678">
        <v>579</v>
      </c>
      <c r="K58" s="678">
        <v>579</v>
      </c>
      <c r="L58" s="678">
        <v>599</v>
      </c>
      <c r="M58" s="678">
        <v>595</v>
      </c>
      <c r="N58" s="678"/>
      <c r="O58" s="678">
        <v>421.11</v>
      </c>
      <c r="P58" s="678">
        <v>430.37</v>
      </c>
      <c r="Q58" s="678">
        <v>430.37</v>
      </c>
      <c r="R58" s="678">
        <v>433.1</v>
      </c>
      <c r="S58" s="678">
        <v>447.5</v>
      </c>
      <c r="T58" s="678">
        <v>438.25</v>
      </c>
      <c r="U58" s="678">
        <v>422.39</v>
      </c>
      <c r="V58" s="678">
        <v>425.46</v>
      </c>
      <c r="W58" s="678">
        <v>420.34</v>
      </c>
      <c r="X58" s="678">
        <v>431</v>
      </c>
    </row>
    <row r="59" spans="4:24" s="627" customFormat="1" ht="18.75" customHeight="1" x14ac:dyDescent="0.3">
      <c r="D59" s="676">
        <v>42</v>
      </c>
      <c r="E59" s="676">
        <v>500</v>
      </c>
      <c r="F59" s="676">
        <v>560</v>
      </c>
      <c r="G59" s="677">
        <v>641</v>
      </c>
      <c r="H59" s="678">
        <v>584</v>
      </c>
      <c r="I59" s="678">
        <v>598</v>
      </c>
      <c r="J59" s="678">
        <v>582</v>
      </c>
      <c r="K59" s="678">
        <v>583</v>
      </c>
      <c r="L59" s="678">
        <v>604</v>
      </c>
      <c r="M59" s="678">
        <v>598</v>
      </c>
      <c r="N59" s="678"/>
      <c r="O59" s="678">
        <v>425.75</v>
      </c>
      <c r="P59" s="678">
        <v>435.22</v>
      </c>
      <c r="Q59" s="678">
        <v>435.22</v>
      </c>
      <c r="R59" s="678">
        <v>437.79</v>
      </c>
      <c r="S59" s="678">
        <v>452</v>
      </c>
      <c r="T59" s="678">
        <v>443.15</v>
      </c>
      <c r="U59" s="678">
        <v>426.99</v>
      </c>
      <c r="V59" s="678">
        <v>430.11</v>
      </c>
      <c r="W59" s="678">
        <v>424.92</v>
      </c>
      <c r="X59" s="678">
        <v>437</v>
      </c>
    </row>
    <row r="60" spans="4:24" s="627" customFormat="1" ht="18.75" customHeight="1" x14ac:dyDescent="0.3">
      <c r="D60" s="676">
        <v>43</v>
      </c>
      <c r="E60" s="676">
        <v>500</v>
      </c>
      <c r="F60" s="676">
        <v>560</v>
      </c>
      <c r="G60" s="677">
        <v>644</v>
      </c>
      <c r="H60" s="678">
        <v>587</v>
      </c>
      <c r="I60" s="678">
        <v>602</v>
      </c>
      <c r="J60" s="678">
        <v>586</v>
      </c>
      <c r="K60" s="678">
        <v>586</v>
      </c>
      <c r="L60" s="678">
        <v>608</v>
      </c>
      <c r="M60" s="678">
        <v>603</v>
      </c>
      <c r="N60" s="678"/>
      <c r="O60" s="678">
        <v>430.29</v>
      </c>
      <c r="P60" s="678">
        <v>439.82</v>
      </c>
      <c r="Q60" s="678">
        <v>439.82</v>
      </c>
      <c r="R60" s="678">
        <v>442.47</v>
      </c>
      <c r="S60" s="678">
        <v>457</v>
      </c>
      <c r="T60" s="678">
        <v>447.87</v>
      </c>
      <c r="U60" s="678">
        <v>431.52</v>
      </c>
      <c r="V60" s="678">
        <v>434.98</v>
      </c>
      <c r="W60" s="678">
        <v>429.33</v>
      </c>
      <c r="X60" s="678">
        <v>441</v>
      </c>
    </row>
    <row r="61" spans="4:24" s="627" customFormat="1" ht="18.75" customHeight="1" x14ac:dyDescent="0.3">
      <c r="D61" s="676">
        <v>44</v>
      </c>
      <c r="E61" s="676">
        <v>500</v>
      </c>
      <c r="F61" s="676">
        <v>560</v>
      </c>
      <c r="G61" s="677">
        <v>647</v>
      </c>
      <c r="H61" s="678">
        <v>591</v>
      </c>
      <c r="I61" s="678">
        <v>606</v>
      </c>
      <c r="J61" s="678">
        <v>589</v>
      </c>
      <c r="K61" s="678">
        <v>590</v>
      </c>
      <c r="L61" s="678">
        <v>613</v>
      </c>
      <c r="M61" s="678">
        <v>607</v>
      </c>
      <c r="N61" s="678"/>
      <c r="O61" s="678">
        <v>434.99</v>
      </c>
      <c r="P61" s="678">
        <v>444.6</v>
      </c>
      <c r="Q61" s="678">
        <v>444.6</v>
      </c>
      <c r="R61" s="678">
        <v>447.06</v>
      </c>
      <c r="S61" s="678">
        <v>462</v>
      </c>
      <c r="T61" s="678">
        <v>452.82</v>
      </c>
      <c r="U61" s="678">
        <v>436.24</v>
      </c>
      <c r="V61" s="678">
        <v>439.59</v>
      </c>
      <c r="W61" s="678">
        <v>433.95</v>
      </c>
      <c r="X61" s="678">
        <v>446</v>
      </c>
    </row>
    <row r="62" spans="4:24" s="627" customFormat="1" ht="18.75" customHeight="1" x14ac:dyDescent="0.3">
      <c r="D62" s="676">
        <v>45</v>
      </c>
      <c r="E62" s="676">
        <v>500</v>
      </c>
      <c r="F62" s="676">
        <v>560</v>
      </c>
      <c r="G62" s="677">
        <v>650</v>
      </c>
      <c r="H62" s="678">
        <v>594</v>
      </c>
      <c r="I62" s="678">
        <v>610</v>
      </c>
      <c r="J62" s="678">
        <v>593</v>
      </c>
      <c r="K62" s="678">
        <v>593</v>
      </c>
      <c r="L62" s="678">
        <v>617</v>
      </c>
      <c r="M62" s="678">
        <v>611</v>
      </c>
      <c r="N62" s="678"/>
      <c r="O62" s="678">
        <v>439.45</v>
      </c>
      <c r="P62" s="678">
        <v>449.15</v>
      </c>
      <c r="Q62" s="678">
        <v>449.15</v>
      </c>
      <c r="R62" s="678">
        <v>451.77</v>
      </c>
      <c r="S62" s="678">
        <v>466.5</v>
      </c>
      <c r="T62" s="678">
        <v>457.67</v>
      </c>
      <c r="U62" s="678">
        <v>440.79</v>
      </c>
      <c r="V62" s="678">
        <v>444.42</v>
      </c>
      <c r="W62" s="678">
        <v>438.38</v>
      </c>
      <c r="X62" s="678">
        <v>451</v>
      </c>
    </row>
    <row r="63" spans="4:24" s="627" customFormat="1" ht="18.75" customHeight="1" x14ac:dyDescent="0.3">
      <c r="D63" s="676">
        <v>46</v>
      </c>
      <c r="E63" s="676">
        <v>500</v>
      </c>
      <c r="F63" s="676">
        <v>560</v>
      </c>
      <c r="G63" s="677">
        <v>654</v>
      </c>
      <c r="H63" s="678">
        <v>598</v>
      </c>
      <c r="I63" s="678">
        <v>615</v>
      </c>
      <c r="J63" s="678">
        <v>596</v>
      </c>
      <c r="K63" s="678">
        <v>597</v>
      </c>
      <c r="L63" s="678">
        <v>622</v>
      </c>
      <c r="M63" s="678">
        <v>615</v>
      </c>
      <c r="N63" s="678"/>
      <c r="O63" s="678">
        <v>444.1</v>
      </c>
      <c r="P63" s="678">
        <v>453.98</v>
      </c>
      <c r="Q63" s="678">
        <v>453.98</v>
      </c>
      <c r="R63" s="678">
        <v>456.49</v>
      </c>
      <c r="S63" s="678">
        <v>471</v>
      </c>
      <c r="T63" s="678">
        <v>462.5</v>
      </c>
      <c r="U63" s="678">
        <v>445.49</v>
      </c>
      <c r="V63" s="678">
        <v>449.03</v>
      </c>
      <c r="W63" s="678">
        <v>443.01</v>
      </c>
      <c r="X63" s="678">
        <v>456</v>
      </c>
    </row>
    <row r="64" spans="4:24" s="627" customFormat="1" ht="18.75" customHeight="1" x14ac:dyDescent="0.3">
      <c r="D64" s="676">
        <v>47</v>
      </c>
      <c r="E64" s="676">
        <v>500</v>
      </c>
      <c r="F64" s="676">
        <v>560</v>
      </c>
      <c r="G64" s="677">
        <v>657</v>
      </c>
      <c r="H64" s="678">
        <v>602</v>
      </c>
      <c r="I64" s="678">
        <v>619</v>
      </c>
      <c r="J64" s="678">
        <v>600</v>
      </c>
      <c r="K64" s="678">
        <v>600</v>
      </c>
      <c r="L64" s="678">
        <v>627</v>
      </c>
      <c r="M64" s="678">
        <v>620</v>
      </c>
      <c r="N64" s="678"/>
      <c r="O64" s="678">
        <v>448.54</v>
      </c>
      <c r="P64" s="678">
        <v>458.68</v>
      </c>
      <c r="Q64" s="678">
        <v>458.68</v>
      </c>
      <c r="R64" s="678">
        <v>461.17</v>
      </c>
      <c r="S64" s="678">
        <v>476</v>
      </c>
      <c r="T64" s="678">
        <v>467.33</v>
      </c>
      <c r="U64" s="678">
        <v>450.01</v>
      </c>
      <c r="V64" s="678">
        <v>453.93</v>
      </c>
      <c r="W64" s="678">
        <v>447.45</v>
      </c>
      <c r="X64" s="678">
        <v>461</v>
      </c>
    </row>
    <row r="65" spans="4:24" s="627" customFormat="1" ht="18.75" customHeight="1" x14ac:dyDescent="0.3">
      <c r="D65" s="676">
        <v>48</v>
      </c>
      <c r="E65" s="676">
        <v>500</v>
      </c>
      <c r="F65" s="676">
        <v>560</v>
      </c>
      <c r="G65" s="677">
        <v>661</v>
      </c>
      <c r="H65" s="678">
        <v>606</v>
      </c>
      <c r="I65" s="678">
        <v>624</v>
      </c>
      <c r="J65" s="678">
        <v>604</v>
      </c>
      <c r="K65" s="678">
        <v>604</v>
      </c>
      <c r="L65" s="678">
        <v>632</v>
      </c>
      <c r="M65" s="678">
        <v>624</v>
      </c>
      <c r="N65" s="678"/>
      <c r="O65" s="678">
        <v>453.22</v>
      </c>
      <c r="P65" s="678">
        <v>463.34</v>
      </c>
      <c r="Q65" s="678">
        <v>463.34</v>
      </c>
      <c r="R65" s="678">
        <v>465.9</v>
      </c>
      <c r="S65" s="678">
        <v>480.5</v>
      </c>
      <c r="T65" s="678">
        <v>471.97</v>
      </c>
      <c r="U65" s="678">
        <v>454.76</v>
      </c>
      <c r="V65" s="678">
        <v>458.7</v>
      </c>
      <c r="W65" s="678">
        <v>452.07</v>
      </c>
      <c r="X65" s="678">
        <v>466</v>
      </c>
    </row>
    <row r="66" spans="4:24" s="627" customFormat="1" ht="18.75" customHeight="1" x14ac:dyDescent="0.3">
      <c r="D66" s="676">
        <v>49</v>
      </c>
      <c r="E66" s="676">
        <v>500</v>
      </c>
      <c r="F66" s="676">
        <v>560</v>
      </c>
      <c r="G66" s="677">
        <v>664</v>
      </c>
      <c r="H66" s="678">
        <v>610</v>
      </c>
      <c r="I66" s="678">
        <v>629</v>
      </c>
      <c r="J66" s="678">
        <v>608</v>
      </c>
      <c r="K66" s="678">
        <v>608</v>
      </c>
      <c r="L66" s="678">
        <v>637</v>
      </c>
      <c r="M66" s="678">
        <v>629</v>
      </c>
      <c r="N66" s="678"/>
      <c r="O66" s="678">
        <v>457.79</v>
      </c>
      <c r="P66" s="678">
        <v>468.03</v>
      </c>
      <c r="Q66" s="678">
        <v>468.03</v>
      </c>
      <c r="R66" s="678">
        <v>470.52</v>
      </c>
      <c r="S66" s="678">
        <v>485</v>
      </c>
      <c r="T66" s="678">
        <v>476.72</v>
      </c>
      <c r="U66" s="678">
        <v>459.43</v>
      </c>
      <c r="V66" s="678">
        <v>463.4</v>
      </c>
      <c r="W66" s="678">
        <v>456.67</v>
      </c>
      <c r="X66" s="678">
        <v>471</v>
      </c>
    </row>
    <row r="67" spans="4:24" s="627" customFormat="1" ht="18.75" customHeight="1" x14ac:dyDescent="0.3">
      <c r="D67" s="676">
        <v>50</v>
      </c>
      <c r="E67" s="676">
        <v>500</v>
      </c>
      <c r="F67" s="676">
        <v>560</v>
      </c>
      <c r="G67" s="677">
        <v>667</v>
      </c>
      <c r="H67" s="678">
        <v>614</v>
      </c>
      <c r="I67" s="678">
        <v>634</v>
      </c>
      <c r="J67" s="678">
        <v>612</v>
      </c>
      <c r="K67" s="678">
        <v>612</v>
      </c>
      <c r="L67" s="678">
        <v>642</v>
      </c>
      <c r="M67" s="678">
        <v>634</v>
      </c>
      <c r="N67" s="678"/>
      <c r="O67" s="678">
        <v>462.33</v>
      </c>
      <c r="P67" s="678">
        <v>472.52</v>
      </c>
      <c r="Q67" s="678">
        <v>472.52</v>
      </c>
      <c r="R67" s="678">
        <v>475.03</v>
      </c>
      <c r="S67" s="678">
        <v>490</v>
      </c>
      <c r="T67" s="678">
        <v>481.41</v>
      </c>
      <c r="U67" s="678">
        <v>464.03</v>
      </c>
      <c r="V67" s="678">
        <v>468.21</v>
      </c>
      <c r="W67" s="678">
        <v>461.24</v>
      </c>
      <c r="X67" s="678">
        <v>476</v>
      </c>
    </row>
    <row r="68" spans="4:24" s="627" customFormat="1" ht="18.75" customHeight="1" x14ac:dyDescent="0.3">
      <c r="D68" s="676">
        <v>51</v>
      </c>
      <c r="E68" s="676">
        <v>500</v>
      </c>
      <c r="F68" s="676">
        <v>560</v>
      </c>
      <c r="G68" s="677">
        <v>671</v>
      </c>
      <c r="H68" s="678">
        <v>618</v>
      </c>
      <c r="I68" s="678">
        <v>639</v>
      </c>
      <c r="J68" s="678">
        <v>616</v>
      </c>
      <c r="K68" s="678">
        <v>616</v>
      </c>
      <c r="L68" s="678">
        <v>648</v>
      </c>
      <c r="M68" s="678">
        <v>639</v>
      </c>
      <c r="N68" s="678"/>
      <c r="O68" s="678">
        <v>466.92</v>
      </c>
      <c r="P68" s="678">
        <v>477.15</v>
      </c>
      <c r="Q68" s="678">
        <v>477.15</v>
      </c>
      <c r="R68" s="678">
        <v>479.64</v>
      </c>
      <c r="S68" s="678">
        <v>494.5</v>
      </c>
      <c r="T68" s="678">
        <v>486.14</v>
      </c>
      <c r="U68" s="678">
        <v>468.73</v>
      </c>
      <c r="V68" s="678">
        <v>472.76</v>
      </c>
      <c r="W68" s="678">
        <v>465.85</v>
      </c>
      <c r="X68" s="678">
        <v>481</v>
      </c>
    </row>
    <row r="69" spans="4:24" s="627" customFormat="1" ht="18.75" customHeight="1" x14ac:dyDescent="0.3">
      <c r="D69" s="676">
        <v>52</v>
      </c>
      <c r="E69" s="676">
        <v>500</v>
      </c>
      <c r="F69" s="676">
        <v>560</v>
      </c>
      <c r="G69" s="677">
        <v>675</v>
      </c>
      <c r="H69" s="678">
        <v>622</v>
      </c>
      <c r="I69" s="678">
        <v>644</v>
      </c>
      <c r="J69" s="678">
        <v>620</v>
      </c>
      <c r="K69" s="678">
        <v>620</v>
      </c>
      <c r="L69" s="678">
        <v>653</v>
      </c>
      <c r="M69" s="678">
        <v>644</v>
      </c>
      <c r="N69" s="678"/>
      <c r="O69" s="678">
        <v>471.35</v>
      </c>
      <c r="P69" s="678">
        <v>481.73</v>
      </c>
      <c r="Q69" s="678">
        <v>481.73</v>
      </c>
      <c r="R69" s="678">
        <v>484.23</v>
      </c>
      <c r="S69" s="678">
        <v>499</v>
      </c>
      <c r="T69" s="678">
        <v>490.89</v>
      </c>
      <c r="U69" s="678">
        <v>473.18</v>
      </c>
      <c r="V69" s="678">
        <v>477.51</v>
      </c>
      <c r="W69" s="678">
        <v>470.41</v>
      </c>
      <c r="X69" s="678">
        <v>486</v>
      </c>
    </row>
    <row r="70" spans="4:24" s="627" customFormat="1" ht="19.5" customHeight="1" x14ac:dyDescent="0.3">
      <c r="D70" s="676">
        <v>53</v>
      </c>
      <c r="E70" s="676">
        <v>500</v>
      </c>
      <c r="F70" s="676">
        <v>560</v>
      </c>
      <c r="G70" s="677">
        <v>678</v>
      </c>
      <c r="H70" s="678">
        <v>626</v>
      </c>
      <c r="I70" s="678">
        <v>650</v>
      </c>
      <c r="J70" s="678">
        <v>624</v>
      </c>
      <c r="K70" s="678">
        <v>624</v>
      </c>
      <c r="L70" s="678">
        <v>659</v>
      </c>
      <c r="M70" s="678">
        <v>649</v>
      </c>
      <c r="N70" s="678"/>
      <c r="O70" s="678">
        <v>475.79</v>
      </c>
      <c r="P70" s="678">
        <v>486.34</v>
      </c>
      <c r="Q70" s="678">
        <v>486.34</v>
      </c>
      <c r="R70" s="678">
        <v>488.81</v>
      </c>
      <c r="S70" s="678">
        <v>503.5</v>
      </c>
      <c r="T70" s="678">
        <v>495.58</v>
      </c>
      <c r="U70" s="678">
        <v>477.82</v>
      </c>
      <c r="V70" s="678">
        <v>482.18</v>
      </c>
      <c r="W70" s="678">
        <v>474.81</v>
      </c>
      <c r="X70" s="678">
        <v>491</v>
      </c>
    </row>
    <row r="71" spans="4:24" s="627" customFormat="1" ht="19.5" customHeight="1" x14ac:dyDescent="0.3">
      <c r="D71" s="676">
        <v>54</v>
      </c>
      <c r="E71" s="676">
        <v>500</v>
      </c>
      <c r="F71" s="676">
        <v>560</v>
      </c>
      <c r="G71" s="677">
        <v>682</v>
      </c>
      <c r="H71" s="678">
        <v>631</v>
      </c>
      <c r="I71" s="678">
        <v>655</v>
      </c>
      <c r="J71" s="678">
        <v>628</v>
      </c>
      <c r="K71" s="678">
        <v>629</v>
      </c>
      <c r="L71" s="678">
        <v>667</v>
      </c>
      <c r="M71" s="678">
        <v>655</v>
      </c>
      <c r="N71" s="678"/>
      <c r="O71" s="678">
        <v>480.27</v>
      </c>
      <c r="P71" s="678">
        <v>490.97</v>
      </c>
      <c r="Q71" s="678">
        <v>490.97</v>
      </c>
      <c r="R71" s="678">
        <v>493.41</v>
      </c>
      <c r="S71" s="678">
        <v>508</v>
      </c>
      <c r="T71" s="678">
        <v>500.17</v>
      </c>
      <c r="U71" s="678">
        <v>482.4</v>
      </c>
      <c r="V71" s="678">
        <v>486.88</v>
      </c>
      <c r="W71" s="678">
        <v>479.36</v>
      </c>
      <c r="X71" s="678">
        <v>496</v>
      </c>
    </row>
    <row r="72" spans="4:24" s="627" customFormat="1" ht="19.5" customHeight="1" x14ac:dyDescent="0.3">
      <c r="D72" s="676">
        <v>55</v>
      </c>
      <c r="E72" s="676">
        <v>500</v>
      </c>
      <c r="F72" s="676">
        <v>560</v>
      </c>
      <c r="G72" s="677">
        <v>687</v>
      </c>
      <c r="H72" s="678">
        <v>635</v>
      </c>
      <c r="I72" s="678">
        <v>661</v>
      </c>
      <c r="J72" s="678">
        <v>633</v>
      </c>
      <c r="K72" s="678">
        <v>633</v>
      </c>
      <c r="L72" s="678">
        <v>674</v>
      </c>
      <c r="M72" s="678">
        <v>661</v>
      </c>
      <c r="N72" s="678"/>
      <c r="O72" s="678">
        <v>484.77</v>
      </c>
      <c r="P72" s="678">
        <v>495.52</v>
      </c>
      <c r="Q72" s="678">
        <v>495.52</v>
      </c>
      <c r="R72" s="678">
        <v>497.93</v>
      </c>
      <c r="S72" s="678">
        <v>512.5</v>
      </c>
      <c r="T72" s="678">
        <v>504.67</v>
      </c>
      <c r="U72" s="678">
        <v>487.01</v>
      </c>
      <c r="V72" s="678">
        <v>491.66</v>
      </c>
      <c r="W72" s="678">
        <v>483.82</v>
      </c>
      <c r="X72" s="678">
        <v>501</v>
      </c>
    </row>
    <row r="73" spans="4:24" s="627" customFormat="1" ht="19.5" customHeight="1" x14ac:dyDescent="0.3">
      <c r="D73" s="676">
        <v>56</v>
      </c>
      <c r="E73" s="676">
        <v>500</v>
      </c>
      <c r="F73" s="676">
        <v>560</v>
      </c>
      <c r="G73" s="677">
        <v>691</v>
      </c>
      <c r="H73" s="678">
        <v>640</v>
      </c>
      <c r="I73" s="678">
        <v>669</v>
      </c>
      <c r="J73" s="678">
        <v>637</v>
      </c>
      <c r="K73" s="678">
        <v>637</v>
      </c>
      <c r="L73" s="678">
        <v>683</v>
      </c>
      <c r="M73" s="678">
        <v>668</v>
      </c>
      <c r="N73" s="678"/>
      <c r="O73" s="678">
        <v>489.24</v>
      </c>
      <c r="P73" s="678">
        <v>500.01</v>
      </c>
      <c r="Q73" s="678">
        <v>500.01</v>
      </c>
      <c r="R73" s="678">
        <v>502.29</v>
      </c>
      <c r="S73" s="678">
        <v>516.5</v>
      </c>
      <c r="T73" s="678">
        <v>509.19</v>
      </c>
      <c r="U73" s="678">
        <v>491.69</v>
      </c>
      <c r="V73" s="678">
        <v>496.35</v>
      </c>
      <c r="W73" s="678">
        <v>488.45</v>
      </c>
      <c r="X73" s="678">
        <v>506</v>
      </c>
    </row>
    <row r="74" spans="4:24" s="627" customFormat="1" x14ac:dyDescent="0.3">
      <c r="D74" s="676">
        <v>57</v>
      </c>
      <c r="E74" s="676">
        <v>500</v>
      </c>
      <c r="F74" s="676">
        <v>560</v>
      </c>
      <c r="G74" s="677">
        <v>694</v>
      </c>
      <c r="H74" s="678">
        <v>645</v>
      </c>
      <c r="I74" s="678">
        <v>676</v>
      </c>
      <c r="J74" s="678">
        <v>642</v>
      </c>
      <c r="K74" s="678">
        <v>642</v>
      </c>
      <c r="L74" s="678">
        <v>691</v>
      </c>
      <c r="M74" s="678">
        <v>674</v>
      </c>
      <c r="N74" s="678"/>
      <c r="O74" s="678">
        <v>493.72</v>
      </c>
      <c r="P74" s="678">
        <v>504.41</v>
      </c>
      <c r="Q74" s="678">
        <v>504.41</v>
      </c>
      <c r="R74" s="678">
        <v>506.71</v>
      </c>
      <c r="S74" s="678">
        <v>521</v>
      </c>
      <c r="T74" s="678">
        <v>513.71</v>
      </c>
      <c r="U74" s="678">
        <v>496.29</v>
      </c>
      <c r="V74" s="678">
        <v>500.92</v>
      </c>
      <c r="W74" s="678">
        <v>493.06</v>
      </c>
      <c r="X74" s="678">
        <v>511</v>
      </c>
    </row>
    <row r="75" spans="4:24" s="627" customFormat="1" x14ac:dyDescent="0.3">
      <c r="D75" s="676">
        <v>58</v>
      </c>
      <c r="E75" s="676">
        <v>500</v>
      </c>
      <c r="F75" s="676">
        <v>560</v>
      </c>
      <c r="G75" s="677">
        <v>698</v>
      </c>
      <c r="H75" s="678">
        <v>650</v>
      </c>
      <c r="I75" s="678">
        <v>684</v>
      </c>
      <c r="J75" s="678">
        <v>647</v>
      </c>
      <c r="K75" s="678">
        <v>647</v>
      </c>
      <c r="L75" s="678">
        <v>699</v>
      </c>
      <c r="M75" s="678">
        <v>682</v>
      </c>
      <c r="N75" s="678"/>
      <c r="O75" s="678">
        <v>498.17</v>
      </c>
      <c r="P75" s="678">
        <v>508.8</v>
      </c>
      <c r="Q75" s="678">
        <v>508.8</v>
      </c>
      <c r="R75" s="678">
        <v>511.12</v>
      </c>
      <c r="S75" s="678">
        <v>525.5</v>
      </c>
      <c r="T75" s="678">
        <v>518.25</v>
      </c>
      <c r="U75" s="678">
        <v>500.79</v>
      </c>
      <c r="V75" s="678">
        <v>505.5</v>
      </c>
      <c r="W75" s="678">
        <v>497.59</v>
      </c>
      <c r="X75" s="678">
        <v>516</v>
      </c>
    </row>
    <row r="76" spans="4:24" s="531" customFormat="1" x14ac:dyDescent="0.3">
      <c r="D76" s="676">
        <v>59</v>
      </c>
      <c r="E76" s="676">
        <v>500</v>
      </c>
      <c r="F76" s="676">
        <v>560</v>
      </c>
      <c r="G76" s="677">
        <v>702</v>
      </c>
      <c r="H76" s="678">
        <v>655</v>
      </c>
      <c r="I76" s="678">
        <v>692</v>
      </c>
      <c r="J76" s="678">
        <v>652</v>
      </c>
      <c r="K76" s="678">
        <v>652</v>
      </c>
      <c r="L76" s="678">
        <v>708</v>
      </c>
      <c r="M76" s="678">
        <v>690</v>
      </c>
      <c r="N76" s="678"/>
      <c r="O76" s="678">
        <v>502.45</v>
      </c>
      <c r="P76" s="678">
        <v>513.23</v>
      </c>
      <c r="Q76" s="678">
        <v>513.23</v>
      </c>
      <c r="R76" s="678">
        <v>515.48</v>
      </c>
      <c r="S76" s="678">
        <v>530</v>
      </c>
      <c r="T76" s="678">
        <v>522.72</v>
      </c>
      <c r="U76" s="678">
        <v>505.27</v>
      </c>
      <c r="V76" s="678">
        <v>510.06</v>
      </c>
      <c r="W76" s="678">
        <v>501.99</v>
      </c>
      <c r="X76" s="678">
        <v>521</v>
      </c>
    </row>
    <row r="77" spans="4:24" s="627" customFormat="1" x14ac:dyDescent="0.3">
      <c r="D77" s="676">
        <v>60</v>
      </c>
      <c r="E77" s="676">
        <v>500</v>
      </c>
      <c r="F77" s="676">
        <v>560</v>
      </c>
      <c r="G77" s="677">
        <v>705</v>
      </c>
      <c r="H77" s="678">
        <v>661</v>
      </c>
      <c r="I77" s="678">
        <v>701</v>
      </c>
      <c r="J77" s="678">
        <v>657</v>
      </c>
      <c r="K77" s="678">
        <v>657</v>
      </c>
      <c r="L77" s="678">
        <v>719</v>
      </c>
      <c r="M77" s="678">
        <v>698</v>
      </c>
      <c r="N77" s="678"/>
      <c r="O77" s="678">
        <v>506.8</v>
      </c>
      <c r="P77" s="678">
        <v>517.64</v>
      </c>
      <c r="Q77" s="678">
        <v>517.64</v>
      </c>
      <c r="R77" s="678">
        <v>519.87</v>
      </c>
      <c r="S77" s="678">
        <v>534</v>
      </c>
      <c r="T77" s="678">
        <v>527.08000000000004</v>
      </c>
      <c r="U77" s="678">
        <v>509.77</v>
      </c>
      <c r="V77" s="678">
        <v>514.64</v>
      </c>
      <c r="W77" s="678">
        <v>506.44</v>
      </c>
      <c r="X77" s="678">
        <v>526</v>
      </c>
    </row>
    <row r="78" spans="4:24" s="627" customFormat="1" x14ac:dyDescent="0.3">
      <c r="D78" s="676">
        <v>61</v>
      </c>
      <c r="E78" s="676">
        <v>500</v>
      </c>
      <c r="F78" s="676">
        <v>560</v>
      </c>
      <c r="G78" s="677">
        <v>708</v>
      </c>
      <c r="H78" s="678">
        <v>668</v>
      </c>
      <c r="I78" s="678">
        <v>709</v>
      </c>
      <c r="J78" s="678">
        <v>662</v>
      </c>
      <c r="K78" s="678">
        <v>663</v>
      </c>
      <c r="L78" s="678"/>
      <c r="M78" s="678">
        <v>706</v>
      </c>
      <c r="N78" s="678"/>
      <c r="O78" s="678">
        <v>511.15</v>
      </c>
      <c r="P78" s="678">
        <v>522.02</v>
      </c>
      <c r="Q78" s="678">
        <v>522.02</v>
      </c>
      <c r="R78" s="678">
        <v>524.19000000000005</v>
      </c>
      <c r="S78" s="678">
        <v>538</v>
      </c>
      <c r="T78" s="678">
        <v>531.41999999999996</v>
      </c>
      <c r="U78" s="678">
        <v>514.28</v>
      </c>
      <c r="V78" s="678">
        <v>519.26</v>
      </c>
      <c r="W78" s="678">
        <v>510.89</v>
      </c>
      <c r="X78" s="678">
        <v>531</v>
      </c>
    </row>
    <row r="79" spans="4:24" s="627" customFormat="1" x14ac:dyDescent="0.3">
      <c r="D79" s="676">
        <v>62</v>
      </c>
      <c r="E79" s="676">
        <v>500</v>
      </c>
      <c r="F79" s="676">
        <v>560</v>
      </c>
      <c r="G79" s="677">
        <v>713</v>
      </c>
      <c r="H79" s="678">
        <v>674</v>
      </c>
      <c r="I79" s="678">
        <v>720</v>
      </c>
      <c r="J79" s="678">
        <v>669</v>
      </c>
      <c r="K79" s="678">
        <v>670</v>
      </c>
      <c r="L79" s="678"/>
      <c r="M79" s="678">
        <v>716</v>
      </c>
      <c r="N79" s="678"/>
      <c r="O79" s="678">
        <v>515.47</v>
      </c>
      <c r="P79" s="678">
        <v>526.29</v>
      </c>
      <c r="Q79" s="678">
        <v>526.29</v>
      </c>
      <c r="R79" s="678">
        <v>528.41</v>
      </c>
      <c r="S79" s="678">
        <v>542.5</v>
      </c>
      <c r="T79" s="678">
        <v>535.75</v>
      </c>
      <c r="U79" s="678">
        <v>518.82000000000005</v>
      </c>
      <c r="V79" s="678">
        <v>523.82000000000005</v>
      </c>
      <c r="W79" s="678">
        <v>515.32000000000005</v>
      </c>
      <c r="X79" s="678">
        <v>536</v>
      </c>
    </row>
    <row r="80" spans="4:24" s="627" customFormat="1" x14ac:dyDescent="0.3">
      <c r="D80" s="676">
        <v>63</v>
      </c>
      <c r="E80" s="676">
        <v>500</v>
      </c>
      <c r="F80" s="676">
        <v>560</v>
      </c>
      <c r="G80" s="677">
        <v>718</v>
      </c>
      <c r="H80" s="678">
        <v>682</v>
      </c>
      <c r="I80" s="678"/>
      <c r="J80" s="678">
        <v>675</v>
      </c>
      <c r="K80" s="678">
        <v>677</v>
      </c>
      <c r="L80" s="678"/>
      <c r="M80" s="678"/>
      <c r="N80" s="678"/>
      <c r="O80" s="678">
        <v>519.83000000000004</v>
      </c>
      <c r="P80" s="678">
        <v>530.55999999999995</v>
      </c>
      <c r="Q80" s="678">
        <v>530.55999999999995</v>
      </c>
      <c r="R80" s="678">
        <v>532.6</v>
      </c>
      <c r="S80" s="678">
        <v>546.5</v>
      </c>
      <c r="T80" s="678">
        <v>540.05999999999995</v>
      </c>
      <c r="U80" s="678">
        <v>523.32000000000005</v>
      </c>
      <c r="V80" s="678">
        <v>528.27</v>
      </c>
      <c r="W80" s="678">
        <v>519.79</v>
      </c>
      <c r="X80" s="678">
        <v>541</v>
      </c>
    </row>
    <row r="81" spans="4:24" s="627" customFormat="1" x14ac:dyDescent="0.3">
      <c r="D81" s="676">
        <v>64</v>
      </c>
      <c r="E81" s="676">
        <v>500</v>
      </c>
      <c r="F81" s="676">
        <v>560</v>
      </c>
      <c r="G81" s="677">
        <v>720</v>
      </c>
      <c r="H81" s="678">
        <v>690</v>
      </c>
      <c r="I81" s="678"/>
      <c r="J81" s="678">
        <v>683</v>
      </c>
      <c r="K81" s="678">
        <v>685</v>
      </c>
      <c r="L81" s="678"/>
      <c r="M81" s="678"/>
      <c r="N81" s="678"/>
      <c r="O81" s="678">
        <v>524.13</v>
      </c>
      <c r="P81" s="678">
        <v>534.79</v>
      </c>
      <c r="Q81" s="678">
        <v>534.79</v>
      </c>
      <c r="R81" s="678">
        <v>536.80999999999995</v>
      </c>
      <c r="S81" s="678">
        <v>551</v>
      </c>
      <c r="T81" s="678">
        <v>544.33000000000004</v>
      </c>
      <c r="U81" s="678">
        <v>527.71</v>
      </c>
      <c r="V81" s="678">
        <v>532.73</v>
      </c>
      <c r="W81" s="678">
        <v>524.22</v>
      </c>
      <c r="X81" s="678">
        <v>546</v>
      </c>
    </row>
    <row r="82" spans="4:24" s="627" customFormat="1" x14ac:dyDescent="0.3">
      <c r="D82" s="676">
        <v>65</v>
      </c>
      <c r="E82" s="676">
        <v>500</v>
      </c>
      <c r="F82" s="676">
        <v>560</v>
      </c>
      <c r="G82" s="677"/>
      <c r="H82" s="678">
        <v>697</v>
      </c>
      <c r="I82" s="678"/>
      <c r="J82" s="678">
        <v>690</v>
      </c>
      <c r="K82" s="678">
        <v>692</v>
      </c>
      <c r="L82" s="678"/>
      <c r="M82" s="678"/>
      <c r="N82" s="678"/>
      <c r="O82" s="678">
        <v>528.32000000000005</v>
      </c>
      <c r="P82" s="678">
        <v>539.03</v>
      </c>
      <c r="Q82" s="678">
        <v>539.03</v>
      </c>
      <c r="R82" s="678">
        <v>540.99</v>
      </c>
      <c r="S82" s="678">
        <v>555</v>
      </c>
      <c r="T82" s="678">
        <v>548.63</v>
      </c>
      <c r="U82" s="678">
        <v>532.12</v>
      </c>
      <c r="V82" s="678">
        <v>537.22</v>
      </c>
      <c r="W82" s="678">
        <v>528.55999999999995</v>
      </c>
      <c r="X82" s="678">
        <v>551</v>
      </c>
    </row>
    <row r="83" spans="4:24" s="627" customFormat="1" x14ac:dyDescent="0.3">
      <c r="D83" s="676">
        <v>66</v>
      </c>
      <c r="E83" s="676">
        <v>500</v>
      </c>
      <c r="F83" s="676">
        <v>560</v>
      </c>
      <c r="G83" s="677"/>
      <c r="H83" s="678">
        <v>706</v>
      </c>
      <c r="I83" s="678"/>
      <c r="J83" s="678">
        <v>696</v>
      </c>
      <c r="K83" s="678">
        <v>700</v>
      </c>
      <c r="L83" s="678"/>
      <c r="M83" s="678"/>
      <c r="N83" s="678"/>
      <c r="O83" s="678">
        <v>532.51</v>
      </c>
      <c r="P83" s="678">
        <v>543.24</v>
      </c>
      <c r="Q83" s="678">
        <v>543.24</v>
      </c>
      <c r="R83" s="678">
        <v>545.16</v>
      </c>
      <c r="S83" s="678">
        <v>559</v>
      </c>
      <c r="T83" s="678">
        <v>552.94000000000005</v>
      </c>
      <c r="U83" s="678">
        <v>536.54999999999995</v>
      </c>
      <c r="V83" s="678">
        <v>541.70000000000005</v>
      </c>
      <c r="W83" s="678">
        <v>532.89</v>
      </c>
      <c r="X83" s="678">
        <v>556</v>
      </c>
    </row>
    <row r="84" spans="4:24" s="627" customFormat="1" x14ac:dyDescent="0.3">
      <c r="D84" s="676">
        <v>67</v>
      </c>
      <c r="E84" s="676">
        <v>500</v>
      </c>
      <c r="F84" s="676">
        <v>560</v>
      </c>
      <c r="G84" s="677"/>
      <c r="H84" s="678">
        <v>717</v>
      </c>
      <c r="I84" s="678"/>
      <c r="J84" s="678">
        <v>703</v>
      </c>
      <c r="K84" s="678">
        <v>709</v>
      </c>
      <c r="L84" s="678"/>
      <c r="M84" s="678"/>
      <c r="N84" s="678"/>
      <c r="O84" s="678">
        <v>536.73</v>
      </c>
      <c r="P84" s="678">
        <v>547.48</v>
      </c>
      <c r="Q84" s="678">
        <v>547.48</v>
      </c>
      <c r="R84" s="678">
        <v>549.34</v>
      </c>
      <c r="S84" s="678">
        <v>563</v>
      </c>
      <c r="T84" s="678">
        <v>557.16</v>
      </c>
      <c r="U84" s="678">
        <v>540.97</v>
      </c>
      <c r="V84" s="678">
        <v>546.17999999999995</v>
      </c>
      <c r="W84" s="678">
        <v>537.25</v>
      </c>
      <c r="X84" s="678">
        <v>561</v>
      </c>
    </row>
    <row r="85" spans="4:24" s="627" customFormat="1" x14ac:dyDescent="0.3">
      <c r="D85" s="676">
        <v>68</v>
      </c>
      <c r="E85" s="676">
        <v>500</v>
      </c>
      <c r="F85" s="676">
        <v>560</v>
      </c>
      <c r="G85" s="677"/>
      <c r="H85" s="678"/>
      <c r="I85" s="678"/>
      <c r="J85" s="678">
        <v>711</v>
      </c>
      <c r="K85" s="678">
        <v>719</v>
      </c>
      <c r="L85" s="678"/>
      <c r="M85" s="678"/>
      <c r="N85" s="678"/>
      <c r="O85" s="678">
        <v>540.92999999999995</v>
      </c>
      <c r="P85" s="678">
        <v>551.72</v>
      </c>
      <c r="Q85" s="678">
        <v>551.72</v>
      </c>
      <c r="R85" s="678">
        <v>553.52</v>
      </c>
      <c r="S85" s="678">
        <v>567</v>
      </c>
      <c r="T85" s="678">
        <v>561.20000000000005</v>
      </c>
      <c r="U85" s="678">
        <v>545.39</v>
      </c>
      <c r="V85" s="678">
        <v>550.70000000000005</v>
      </c>
      <c r="W85" s="678">
        <v>541.62</v>
      </c>
      <c r="X85" s="678">
        <v>566</v>
      </c>
    </row>
    <row r="86" spans="4:24" x14ac:dyDescent="0.3">
      <c r="D86" s="676">
        <v>69</v>
      </c>
      <c r="E86" s="676">
        <v>500</v>
      </c>
      <c r="F86" s="676">
        <v>560</v>
      </c>
      <c r="G86" s="677"/>
      <c r="H86" s="678"/>
      <c r="I86" s="678"/>
      <c r="J86" s="678">
        <v>719</v>
      </c>
      <c r="K86" s="678"/>
      <c r="L86" s="678"/>
      <c r="M86" s="678"/>
      <c r="N86" s="678"/>
      <c r="O86" s="678">
        <v>545.11</v>
      </c>
      <c r="P86" s="678">
        <v>555.95000000000005</v>
      </c>
      <c r="Q86" s="678">
        <v>555.95000000000005</v>
      </c>
      <c r="R86" s="678">
        <v>557.6</v>
      </c>
      <c r="S86" s="678">
        <v>571</v>
      </c>
      <c r="T86" s="678">
        <v>565.26</v>
      </c>
      <c r="U86" s="678">
        <v>549.86</v>
      </c>
      <c r="V86" s="678">
        <v>555.23</v>
      </c>
      <c r="W86" s="678">
        <v>545.98</v>
      </c>
      <c r="X86" s="678">
        <v>570</v>
      </c>
    </row>
    <row r="87" spans="4:24" x14ac:dyDescent="0.3">
      <c r="D87" s="676">
        <v>70</v>
      </c>
      <c r="E87" s="676">
        <v>500</v>
      </c>
      <c r="F87" s="676">
        <v>560</v>
      </c>
      <c r="G87" s="677"/>
      <c r="H87" s="678"/>
      <c r="I87" s="678"/>
      <c r="J87" s="678"/>
      <c r="K87" s="678"/>
      <c r="L87" s="678"/>
      <c r="M87" s="678"/>
      <c r="N87" s="678"/>
      <c r="O87" s="678">
        <v>549.33000000000004</v>
      </c>
      <c r="P87" s="678">
        <v>559.91999999999996</v>
      </c>
      <c r="Q87" s="678">
        <v>559.91999999999996</v>
      </c>
      <c r="R87" s="678">
        <v>561.54</v>
      </c>
      <c r="S87" s="678">
        <v>575</v>
      </c>
      <c r="T87" s="678">
        <v>569.39</v>
      </c>
      <c r="U87" s="678">
        <v>554.34</v>
      </c>
      <c r="V87" s="678">
        <v>559.54</v>
      </c>
      <c r="W87" s="678">
        <v>550.36</v>
      </c>
      <c r="X87" s="678">
        <v>575</v>
      </c>
    </row>
    <row r="88" spans="4:24" x14ac:dyDescent="0.3">
      <c r="D88" s="676">
        <v>71</v>
      </c>
      <c r="E88" s="676">
        <v>500</v>
      </c>
      <c r="F88" s="676">
        <v>560</v>
      </c>
      <c r="G88" s="677"/>
      <c r="H88" s="678"/>
      <c r="I88" s="678"/>
      <c r="J88" s="678"/>
      <c r="K88" s="678"/>
      <c r="L88" s="678"/>
      <c r="M88" s="678"/>
      <c r="N88" s="678"/>
      <c r="O88" s="678">
        <v>553.55999999999995</v>
      </c>
      <c r="P88" s="678">
        <v>563.94000000000005</v>
      </c>
      <c r="Q88" s="678">
        <v>563.94000000000005</v>
      </c>
      <c r="R88" s="678">
        <v>565.5</v>
      </c>
      <c r="S88" s="678">
        <v>579.5</v>
      </c>
      <c r="T88" s="678">
        <v>573.6</v>
      </c>
      <c r="U88" s="678">
        <v>558.66</v>
      </c>
      <c r="V88" s="678">
        <v>563.86</v>
      </c>
      <c r="W88" s="678">
        <v>554.78</v>
      </c>
      <c r="X88" s="678">
        <v>580</v>
      </c>
    </row>
    <row r="89" spans="4:24" x14ac:dyDescent="0.3">
      <c r="D89" s="676">
        <v>72</v>
      </c>
      <c r="E89" s="676">
        <v>500</v>
      </c>
      <c r="F89" s="676">
        <v>560</v>
      </c>
      <c r="G89" s="677"/>
      <c r="H89" s="678"/>
      <c r="I89" s="678"/>
      <c r="J89" s="678"/>
      <c r="K89" s="678"/>
      <c r="L89" s="678"/>
      <c r="M89" s="678"/>
      <c r="N89" s="678"/>
      <c r="O89" s="678">
        <v>557.67999999999995</v>
      </c>
      <c r="P89" s="678">
        <v>568.01</v>
      </c>
      <c r="Q89" s="678">
        <v>568.01</v>
      </c>
      <c r="R89" s="678">
        <v>569.53</v>
      </c>
      <c r="S89" s="678">
        <v>584</v>
      </c>
      <c r="T89" s="678">
        <v>577.98</v>
      </c>
      <c r="U89" s="678">
        <v>562.95000000000005</v>
      </c>
      <c r="V89" s="678">
        <v>568.25</v>
      </c>
      <c r="W89" s="678">
        <v>558.99</v>
      </c>
      <c r="X89" s="678">
        <v>586</v>
      </c>
    </row>
    <row r="90" spans="4:24" x14ac:dyDescent="0.3">
      <c r="D90" s="676">
        <v>73</v>
      </c>
      <c r="E90" s="676">
        <v>500</v>
      </c>
      <c r="F90" s="676">
        <v>560</v>
      </c>
      <c r="G90" s="677"/>
      <c r="H90" s="678"/>
      <c r="I90" s="678"/>
      <c r="J90" s="678"/>
      <c r="K90" s="678"/>
      <c r="L90" s="678"/>
      <c r="M90" s="678"/>
      <c r="N90" s="678"/>
      <c r="O90" s="678">
        <v>561.69000000000005</v>
      </c>
      <c r="P90" s="678">
        <v>572.16</v>
      </c>
      <c r="Q90" s="678">
        <v>572.16</v>
      </c>
      <c r="R90" s="678">
        <v>573.63</v>
      </c>
      <c r="S90" s="678">
        <v>588.5</v>
      </c>
      <c r="T90" s="678">
        <v>582.52</v>
      </c>
      <c r="U90" s="678">
        <v>567.29</v>
      </c>
      <c r="V90" s="678">
        <v>572.75</v>
      </c>
      <c r="W90" s="678">
        <v>563.20000000000005</v>
      </c>
      <c r="X90" s="678">
        <v>591</v>
      </c>
    </row>
    <row r="91" spans="4:24" x14ac:dyDescent="0.3">
      <c r="D91" s="679">
        <v>74</v>
      </c>
      <c r="E91" s="679">
        <v>500</v>
      </c>
      <c r="F91" s="679">
        <v>560</v>
      </c>
      <c r="G91" s="680"/>
      <c r="H91" s="655"/>
      <c r="I91" s="655"/>
      <c r="J91" s="655"/>
      <c r="K91" s="655"/>
      <c r="L91" s="655"/>
      <c r="M91" s="655"/>
      <c r="N91" s="655"/>
      <c r="O91" s="655">
        <v>565.72</v>
      </c>
      <c r="P91" s="655">
        <v>576.42999999999995</v>
      </c>
      <c r="Q91" s="655">
        <v>576.42999999999995</v>
      </c>
      <c r="R91" s="655">
        <v>577.9</v>
      </c>
      <c r="S91" s="655">
        <v>593</v>
      </c>
      <c r="T91" s="655">
        <v>587.01</v>
      </c>
      <c r="U91" s="655">
        <v>571.73</v>
      </c>
      <c r="V91" s="655">
        <v>577.42999999999995</v>
      </c>
      <c r="W91" s="655">
        <v>567.47</v>
      </c>
      <c r="X91" s="655">
        <v>597</v>
      </c>
    </row>
    <row r="92" spans="4:24" x14ac:dyDescent="0.3">
      <c r="D92" s="676">
        <v>75</v>
      </c>
      <c r="E92" s="676">
        <v>500</v>
      </c>
      <c r="F92" s="676">
        <v>560</v>
      </c>
      <c r="G92" s="681"/>
      <c r="H92" s="653"/>
      <c r="I92" s="653"/>
      <c r="J92" s="653"/>
      <c r="K92" s="653"/>
      <c r="L92" s="653"/>
      <c r="M92" s="653"/>
      <c r="N92" s="653"/>
      <c r="O92" s="653">
        <v>569.84</v>
      </c>
      <c r="P92" s="653">
        <v>580.87</v>
      </c>
      <c r="Q92" s="653">
        <v>580.87</v>
      </c>
      <c r="R92" s="653">
        <v>582.30999999999995</v>
      </c>
      <c r="S92" s="653">
        <v>597.5</v>
      </c>
      <c r="T92" s="653">
        <v>591.57000000000005</v>
      </c>
      <c r="U92" s="653">
        <v>576.32000000000005</v>
      </c>
      <c r="V92" s="653">
        <v>582.30999999999995</v>
      </c>
      <c r="W92" s="653">
        <v>571.82000000000005</v>
      </c>
      <c r="X92" s="653">
        <v>603</v>
      </c>
    </row>
    <row r="93" spans="4:24" x14ac:dyDescent="0.3">
      <c r="D93" s="676">
        <v>76</v>
      </c>
      <c r="E93" s="676">
        <v>500</v>
      </c>
      <c r="F93" s="676">
        <v>560</v>
      </c>
      <c r="G93" s="681"/>
      <c r="H93" s="653"/>
      <c r="I93" s="653"/>
      <c r="J93" s="653"/>
      <c r="K93" s="653"/>
      <c r="L93" s="653"/>
      <c r="M93" s="653"/>
      <c r="N93" s="653"/>
      <c r="O93" s="653">
        <v>574.04999999999995</v>
      </c>
      <c r="P93" s="653">
        <v>585.37</v>
      </c>
      <c r="Q93" s="653">
        <v>585.37</v>
      </c>
      <c r="R93" s="653">
        <v>586.69000000000005</v>
      </c>
      <c r="S93" s="653">
        <v>602.5</v>
      </c>
      <c r="T93" s="653">
        <v>596.33000000000004</v>
      </c>
      <c r="U93" s="653">
        <v>581.13</v>
      </c>
      <c r="V93" s="653">
        <v>587.16</v>
      </c>
      <c r="W93" s="653">
        <v>576.33000000000004</v>
      </c>
      <c r="X93" s="653">
        <v>609</v>
      </c>
    </row>
    <row r="94" spans="4:24" x14ac:dyDescent="0.3">
      <c r="D94" s="676">
        <v>77</v>
      </c>
      <c r="E94" s="676">
        <v>500</v>
      </c>
      <c r="F94" s="676">
        <v>560</v>
      </c>
      <c r="G94" s="681"/>
      <c r="H94" s="653"/>
      <c r="I94" s="653"/>
      <c r="J94" s="653"/>
      <c r="K94" s="653"/>
      <c r="L94" s="653"/>
      <c r="M94" s="653"/>
      <c r="N94" s="653"/>
      <c r="O94" s="653">
        <v>578.45000000000005</v>
      </c>
      <c r="P94" s="653">
        <v>589.85</v>
      </c>
      <c r="Q94" s="653">
        <v>589.85</v>
      </c>
      <c r="R94" s="653">
        <v>591.15</v>
      </c>
      <c r="S94" s="653">
        <v>608</v>
      </c>
      <c r="T94" s="653">
        <v>601.33000000000004</v>
      </c>
      <c r="U94" s="653">
        <v>585.99</v>
      </c>
      <c r="V94" s="653">
        <v>592.15</v>
      </c>
      <c r="W94" s="653">
        <v>581.04</v>
      </c>
      <c r="X94" s="653">
        <v>616</v>
      </c>
    </row>
    <row r="95" spans="4:24" x14ac:dyDescent="0.3">
      <c r="D95" s="676">
        <v>78</v>
      </c>
      <c r="E95" s="676">
        <v>500</v>
      </c>
      <c r="F95" s="676">
        <v>560</v>
      </c>
      <c r="G95" s="681"/>
      <c r="H95" s="653"/>
      <c r="I95" s="653"/>
      <c r="J95" s="653"/>
      <c r="K95" s="653"/>
      <c r="L95" s="653"/>
      <c r="M95" s="653"/>
      <c r="N95" s="653"/>
      <c r="O95" s="653">
        <v>583</v>
      </c>
      <c r="P95" s="653">
        <v>594.52</v>
      </c>
      <c r="Q95" s="653">
        <v>594.52</v>
      </c>
      <c r="R95" s="653">
        <v>595.76</v>
      </c>
      <c r="S95" s="653">
        <v>613.5</v>
      </c>
      <c r="T95" s="653">
        <v>606.66999999999996</v>
      </c>
      <c r="U95" s="653">
        <v>590.9</v>
      </c>
      <c r="V95" s="653">
        <v>597.35</v>
      </c>
      <c r="W95" s="653">
        <v>585.79</v>
      </c>
      <c r="X95" s="653">
        <v>623</v>
      </c>
    </row>
    <row r="96" spans="4:24" x14ac:dyDescent="0.3">
      <c r="D96" s="676">
        <v>79</v>
      </c>
      <c r="E96" s="676">
        <v>500</v>
      </c>
      <c r="F96" s="676">
        <v>560</v>
      </c>
      <c r="G96" s="681"/>
      <c r="H96" s="653"/>
      <c r="I96" s="653"/>
      <c r="J96" s="653"/>
      <c r="K96" s="653"/>
      <c r="L96" s="653"/>
      <c r="M96" s="653"/>
      <c r="N96" s="653"/>
      <c r="O96" s="653">
        <v>587.49</v>
      </c>
      <c r="P96" s="653">
        <v>599.4</v>
      </c>
      <c r="Q96" s="653">
        <v>599.4</v>
      </c>
      <c r="R96" s="653">
        <v>600.59</v>
      </c>
      <c r="S96" s="653">
        <v>619</v>
      </c>
      <c r="T96" s="653">
        <v>612.23</v>
      </c>
      <c r="U96" s="653">
        <v>596.02</v>
      </c>
      <c r="V96" s="653">
        <v>602.91</v>
      </c>
      <c r="W96" s="653">
        <v>590.59</v>
      </c>
      <c r="X96" s="653">
        <v>630</v>
      </c>
    </row>
    <row r="97" spans="4:24" x14ac:dyDescent="0.3">
      <c r="D97" s="676">
        <v>80</v>
      </c>
      <c r="E97" s="676">
        <v>500</v>
      </c>
      <c r="F97" s="676">
        <v>560</v>
      </c>
      <c r="G97" s="681"/>
      <c r="H97" s="653"/>
      <c r="I97" s="653"/>
      <c r="J97" s="653"/>
      <c r="K97" s="653"/>
      <c r="L97" s="653"/>
      <c r="M97" s="653"/>
      <c r="N97" s="653"/>
      <c r="O97" s="653">
        <v>592.11</v>
      </c>
      <c r="P97" s="653">
        <v>604.59</v>
      </c>
      <c r="Q97" s="653">
        <v>604.59</v>
      </c>
      <c r="R97" s="653">
        <v>605.76</v>
      </c>
      <c r="S97" s="653">
        <v>625</v>
      </c>
      <c r="T97" s="653">
        <v>618.02</v>
      </c>
      <c r="U97" s="653">
        <v>601.44000000000005</v>
      </c>
      <c r="V97" s="653">
        <v>608.82000000000005</v>
      </c>
      <c r="W97" s="653">
        <v>595.58000000000004</v>
      </c>
      <c r="X97" s="653">
        <v>638</v>
      </c>
    </row>
    <row r="98" spans="4:24" x14ac:dyDescent="0.3">
      <c r="D98" s="676">
        <v>81</v>
      </c>
      <c r="E98" s="676">
        <v>500</v>
      </c>
      <c r="F98" s="676">
        <v>560</v>
      </c>
      <c r="G98" s="681"/>
      <c r="H98" s="653"/>
      <c r="I98" s="653"/>
      <c r="J98" s="653"/>
      <c r="K98" s="653"/>
      <c r="L98" s="653"/>
      <c r="M98" s="653"/>
      <c r="N98" s="653"/>
      <c r="O98" s="653">
        <v>596.92999999999995</v>
      </c>
      <c r="P98" s="653">
        <v>610.08000000000004</v>
      </c>
      <c r="Q98" s="653">
        <v>610.08000000000004</v>
      </c>
      <c r="R98" s="653">
        <v>611.16</v>
      </c>
      <c r="S98" s="653">
        <v>631.5</v>
      </c>
      <c r="T98" s="653">
        <v>624.04999999999995</v>
      </c>
      <c r="U98" s="653">
        <v>607.24</v>
      </c>
      <c r="V98" s="653">
        <v>615.03</v>
      </c>
      <c r="W98" s="653">
        <v>600.83000000000004</v>
      </c>
      <c r="X98" s="653">
        <v>646</v>
      </c>
    </row>
    <row r="99" spans="4:24" x14ac:dyDescent="0.3">
      <c r="D99" s="676">
        <v>82</v>
      </c>
      <c r="E99" s="676">
        <v>500</v>
      </c>
      <c r="F99" s="676">
        <v>560</v>
      </c>
      <c r="G99" s="681"/>
      <c r="H99" s="653"/>
      <c r="I99" s="653"/>
      <c r="J99" s="653"/>
      <c r="K99" s="653"/>
      <c r="L99" s="653"/>
      <c r="M99" s="653"/>
      <c r="N99" s="653"/>
      <c r="O99" s="653">
        <v>602.04</v>
      </c>
      <c r="P99" s="653">
        <v>615.77</v>
      </c>
      <c r="Q99" s="653">
        <v>615.77</v>
      </c>
      <c r="R99" s="653">
        <v>616.77</v>
      </c>
      <c r="S99" s="653">
        <v>638</v>
      </c>
      <c r="T99" s="653">
        <v>630.47</v>
      </c>
      <c r="U99" s="653">
        <v>613.34</v>
      </c>
      <c r="V99" s="653">
        <v>621.47</v>
      </c>
      <c r="W99" s="653">
        <v>606.48</v>
      </c>
      <c r="X99" s="653">
        <v>655</v>
      </c>
    </row>
    <row r="100" spans="4:24" x14ac:dyDescent="0.3">
      <c r="D100" s="676">
        <v>83</v>
      </c>
      <c r="E100" s="676">
        <v>500</v>
      </c>
      <c r="F100" s="676">
        <v>560</v>
      </c>
      <c r="G100" s="681"/>
      <c r="H100" s="653"/>
      <c r="I100" s="653"/>
      <c r="J100" s="653"/>
      <c r="K100" s="653"/>
      <c r="L100" s="653"/>
      <c r="M100" s="653"/>
      <c r="N100" s="653"/>
      <c r="O100" s="653">
        <v>607.49</v>
      </c>
      <c r="P100" s="653">
        <v>621.67999999999995</v>
      </c>
      <c r="Q100" s="653">
        <v>621.67999999999995</v>
      </c>
      <c r="R100" s="653">
        <v>622.55999999999995</v>
      </c>
      <c r="S100" s="653">
        <v>645</v>
      </c>
      <c r="T100" s="653">
        <v>637.26</v>
      </c>
      <c r="U100" s="653">
        <v>619.66</v>
      </c>
      <c r="V100" s="653">
        <v>628.36</v>
      </c>
      <c r="W100" s="653">
        <v>612.41</v>
      </c>
      <c r="X100" s="653">
        <v>665</v>
      </c>
    </row>
    <row r="101" spans="4:24" x14ac:dyDescent="0.3">
      <c r="D101" s="676">
        <v>84</v>
      </c>
      <c r="E101" s="676">
        <v>500</v>
      </c>
      <c r="F101" s="676">
        <v>560</v>
      </c>
      <c r="G101" s="681"/>
      <c r="H101" s="653"/>
      <c r="I101" s="653"/>
      <c r="J101" s="653"/>
      <c r="K101" s="653"/>
      <c r="L101" s="653"/>
      <c r="M101" s="653"/>
      <c r="N101" s="653"/>
      <c r="O101" s="653">
        <v>613.19000000000005</v>
      </c>
      <c r="P101" s="653">
        <v>627.92999999999995</v>
      </c>
      <c r="Q101" s="653">
        <v>627.92999999999995</v>
      </c>
      <c r="R101" s="653">
        <v>628.74</v>
      </c>
      <c r="S101" s="653">
        <v>653</v>
      </c>
      <c r="T101" s="653">
        <v>644.47</v>
      </c>
      <c r="U101" s="653">
        <v>626.37</v>
      </c>
      <c r="V101" s="653">
        <v>635.72</v>
      </c>
      <c r="W101" s="653">
        <v>618.54999999999995</v>
      </c>
      <c r="X101" s="653">
        <v>676</v>
      </c>
    </row>
    <row r="102" spans="4:24" x14ac:dyDescent="0.3">
      <c r="D102" s="676">
        <v>85</v>
      </c>
      <c r="E102" s="676">
        <v>500</v>
      </c>
      <c r="F102" s="676">
        <v>560</v>
      </c>
      <c r="G102" s="681"/>
      <c r="H102" s="653"/>
      <c r="I102" s="653"/>
      <c r="J102" s="653"/>
      <c r="K102" s="653"/>
      <c r="L102" s="653"/>
      <c r="M102" s="653"/>
      <c r="N102" s="653"/>
      <c r="O102" s="653">
        <v>619.12</v>
      </c>
      <c r="P102" s="653">
        <v>634.57000000000005</v>
      </c>
      <c r="Q102" s="653">
        <v>634.57000000000005</v>
      </c>
      <c r="R102" s="653">
        <v>635.24</v>
      </c>
      <c r="S102" s="653">
        <v>661.5</v>
      </c>
      <c r="T102" s="653">
        <v>652.38</v>
      </c>
      <c r="U102" s="653">
        <v>633.54</v>
      </c>
      <c r="V102" s="653">
        <v>643.51</v>
      </c>
      <c r="W102" s="653">
        <v>625</v>
      </c>
      <c r="X102" s="653">
        <v>687</v>
      </c>
    </row>
    <row r="103" spans="4:24" x14ac:dyDescent="0.3">
      <c r="D103" s="676">
        <v>86</v>
      </c>
      <c r="E103" s="676">
        <v>500</v>
      </c>
      <c r="F103" s="676">
        <v>560</v>
      </c>
      <c r="G103" s="681"/>
      <c r="H103" s="653"/>
      <c r="I103" s="653"/>
      <c r="J103" s="653"/>
      <c r="K103" s="653"/>
      <c r="L103" s="653"/>
      <c r="M103" s="653"/>
      <c r="N103" s="653"/>
      <c r="O103" s="653">
        <v>625.39</v>
      </c>
      <c r="P103" s="653">
        <v>641.54</v>
      </c>
      <c r="Q103" s="653">
        <v>641.54</v>
      </c>
      <c r="R103" s="653">
        <v>642.05999999999995</v>
      </c>
      <c r="S103" s="653">
        <v>671</v>
      </c>
      <c r="T103" s="653">
        <v>660.96</v>
      </c>
      <c r="U103" s="653">
        <v>641.09</v>
      </c>
      <c r="V103" s="653">
        <v>652.11</v>
      </c>
      <c r="W103" s="653">
        <v>631.9</v>
      </c>
      <c r="X103" s="653">
        <v>698</v>
      </c>
    </row>
    <row r="104" spans="4:24" x14ac:dyDescent="0.3">
      <c r="D104" s="676">
        <v>87</v>
      </c>
      <c r="E104" s="676">
        <v>500</v>
      </c>
      <c r="F104" s="676">
        <v>560</v>
      </c>
      <c r="G104" s="681"/>
      <c r="H104" s="653"/>
      <c r="I104" s="653"/>
      <c r="J104" s="653"/>
      <c r="K104" s="653"/>
      <c r="L104" s="653"/>
      <c r="M104" s="653"/>
      <c r="N104" s="653"/>
      <c r="O104" s="653">
        <v>632.07000000000005</v>
      </c>
      <c r="P104" s="653">
        <v>649.09</v>
      </c>
      <c r="Q104" s="653">
        <v>649.09</v>
      </c>
      <c r="R104" s="653">
        <v>649.46</v>
      </c>
      <c r="S104" s="653">
        <v>682</v>
      </c>
      <c r="T104" s="653">
        <v>670.56</v>
      </c>
      <c r="U104" s="653">
        <v>649.30999999999995</v>
      </c>
      <c r="V104" s="653">
        <v>661.56</v>
      </c>
      <c r="W104" s="653">
        <v>639.17999999999995</v>
      </c>
      <c r="X104" s="653">
        <v>708</v>
      </c>
    </row>
    <row r="105" spans="4:24" x14ac:dyDescent="0.3">
      <c r="D105" s="676">
        <v>88</v>
      </c>
      <c r="E105" s="676">
        <v>500</v>
      </c>
      <c r="F105" s="676">
        <v>560</v>
      </c>
      <c r="G105" s="681"/>
      <c r="H105" s="653"/>
      <c r="I105" s="653"/>
      <c r="J105" s="653"/>
      <c r="K105" s="653"/>
      <c r="L105" s="653"/>
      <c r="M105" s="653"/>
      <c r="N105" s="653"/>
      <c r="O105" s="653">
        <v>639.15</v>
      </c>
      <c r="P105" s="653">
        <v>657.37</v>
      </c>
      <c r="Q105" s="653">
        <v>657.37</v>
      </c>
      <c r="R105" s="653">
        <v>657.52</v>
      </c>
      <c r="S105" s="653">
        <v>693.5</v>
      </c>
      <c r="T105" s="653">
        <v>681.42</v>
      </c>
      <c r="U105" s="653">
        <v>658.38</v>
      </c>
      <c r="V105" s="653">
        <v>672.22</v>
      </c>
      <c r="W105" s="653">
        <v>646.99</v>
      </c>
      <c r="X105" s="653">
        <v>719</v>
      </c>
    </row>
    <row r="106" spans="4:24" x14ac:dyDescent="0.3">
      <c r="D106" s="676">
        <v>89</v>
      </c>
      <c r="E106" s="676">
        <v>500</v>
      </c>
      <c r="F106" s="676">
        <v>560</v>
      </c>
      <c r="G106" s="681"/>
      <c r="H106" s="653"/>
      <c r="I106" s="653"/>
      <c r="J106" s="653"/>
      <c r="K106" s="653"/>
      <c r="L106" s="653"/>
      <c r="M106" s="653"/>
      <c r="N106" s="653"/>
      <c r="O106" s="653">
        <v>646.79</v>
      </c>
      <c r="P106" s="653">
        <v>666.4</v>
      </c>
      <c r="Q106" s="653">
        <v>666.4</v>
      </c>
      <c r="R106" s="653">
        <v>666.27</v>
      </c>
      <c r="S106" s="653">
        <v>705</v>
      </c>
      <c r="T106" s="653">
        <v>693.26</v>
      </c>
      <c r="U106" s="653">
        <v>668.4</v>
      </c>
      <c r="V106" s="653">
        <v>684.42</v>
      </c>
      <c r="W106" s="653">
        <v>655.66</v>
      </c>
      <c r="X106" s="653"/>
    </row>
    <row r="107" spans="4:24" x14ac:dyDescent="0.3">
      <c r="D107" s="676">
        <v>90</v>
      </c>
      <c r="E107" s="676">
        <v>500</v>
      </c>
      <c r="F107" s="676">
        <v>560</v>
      </c>
      <c r="G107" s="681"/>
      <c r="H107" s="653"/>
      <c r="I107" s="653"/>
      <c r="J107" s="653"/>
      <c r="K107" s="653"/>
      <c r="L107" s="653"/>
      <c r="M107" s="653"/>
      <c r="N107" s="653"/>
      <c r="O107" s="653">
        <v>655.29</v>
      </c>
      <c r="P107" s="653">
        <v>676.07</v>
      </c>
      <c r="Q107" s="653">
        <v>676.07</v>
      </c>
      <c r="R107" s="653">
        <v>676.07</v>
      </c>
      <c r="S107" s="653">
        <v>718.5</v>
      </c>
      <c r="T107" s="653">
        <v>705.02</v>
      </c>
      <c r="U107" s="653">
        <v>679.86</v>
      </c>
      <c r="V107" s="653">
        <v>697.29</v>
      </c>
      <c r="W107" s="653">
        <v>665.07</v>
      </c>
      <c r="X107" s="653"/>
    </row>
    <row r="108" spans="4:24" x14ac:dyDescent="0.3">
      <c r="D108" s="676">
        <v>91</v>
      </c>
      <c r="E108" s="676">
        <v>500</v>
      </c>
      <c r="F108" s="676">
        <v>560</v>
      </c>
      <c r="G108" s="653"/>
      <c r="H108" s="653"/>
      <c r="I108" s="653"/>
      <c r="J108" s="653"/>
      <c r="K108" s="653"/>
      <c r="L108" s="653"/>
      <c r="M108" s="653"/>
      <c r="N108" s="653"/>
      <c r="O108" s="653">
        <v>664.56</v>
      </c>
      <c r="P108" s="653">
        <v>686.95</v>
      </c>
      <c r="Q108" s="653">
        <v>686.95</v>
      </c>
      <c r="R108" s="653">
        <v>686.95</v>
      </c>
      <c r="S108" s="653"/>
      <c r="T108" s="653">
        <v>718.24</v>
      </c>
      <c r="U108" s="653">
        <v>692.47</v>
      </c>
      <c r="V108" s="653">
        <v>710.49</v>
      </c>
      <c r="W108" s="653">
        <v>675.78</v>
      </c>
      <c r="X108" s="653"/>
    </row>
    <row r="109" spans="4:24" x14ac:dyDescent="0.3">
      <c r="D109" s="676">
        <v>92</v>
      </c>
      <c r="E109" s="676">
        <v>500</v>
      </c>
      <c r="F109" s="676">
        <v>560</v>
      </c>
      <c r="G109" s="653"/>
      <c r="H109" s="653"/>
      <c r="I109" s="653"/>
      <c r="J109" s="653"/>
      <c r="K109" s="653"/>
      <c r="L109" s="653"/>
      <c r="M109" s="653"/>
      <c r="N109" s="653"/>
      <c r="O109" s="653">
        <v>675.22</v>
      </c>
      <c r="P109" s="653">
        <v>697.83</v>
      </c>
      <c r="Q109" s="653">
        <v>697.83</v>
      </c>
      <c r="R109" s="653">
        <v>697.83</v>
      </c>
      <c r="S109" s="653"/>
      <c r="T109" s="653"/>
      <c r="U109" s="653">
        <v>704.89</v>
      </c>
      <c r="V109" s="653"/>
      <c r="W109" s="653">
        <v>687.91</v>
      </c>
      <c r="X109" s="653"/>
    </row>
    <row r="110" spans="4:24" x14ac:dyDescent="0.3">
      <c r="D110" s="676">
        <v>93</v>
      </c>
      <c r="E110" s="676">
        <v>500</v>
      </c>
      <c r="F110" s="676">
        <v>560</v>
      </c>
      <c r="G110" s="653"/>
      <c r="H110" s="653"/>
      <c r="I110" s="653"/>
      <c r="J110" s="653"/>
      <c r="K110" s="653"/>
      <c r="L110" s="653"/>
      <c r="M110" s="653"/>
      <c r="N110" s="653"/>
      <c r="O110" s="653">
        <v>687.44</v>
      </c>
      <c r="P110" s="653">
        <v>708.49</v>
      </c>
      <c r="Q110" s="653">
        <v>708.49</v>
      </c>
      <c r="R110" s="653">
        <v>708.49</v>
      </c>
      <c r="S110" s="653"/>
      <c r="T110" s="653"/>
      <c r="U110" s="653">
        <v>718.83</v>
      </c>
      <c r="V110" s="653"/>
      <c r="W110" s="653">
        <v>700.22</v>
      </c>
      <c r="X110" s="653"/>
    </row>
    <row r="111" spans="4:24" x14ac:dyDescent="0.3">
      <c r="D111" s="676">
        <v>94</v>
      </c>
      <c r="E111" s="676">
        <v>500</v>
      </c>
      <c r="F111" s="676">
        <v>560</v>
      </c>
      <c r="G111" s="653"/>
      <c r="H111" s="653"/>
      <c r="I111" s="653"/>
      <c r="J111" s="653"/>
      <c r="K111" s="653"/>
      <c r="L111" s="653"/>
      <c r="M111" s="653"/>
      <c r="N111" s="653"/>
      <c r="O111" s="653">
        <v>700.09</v>
      </c>
      <c r="P111" s="653">
        <v>720.1</v>
      </c>
      <c r="Q111" s="653">
        <v>720.1</v>
      </c>
      <c r="R111" s="653">
        <v>720.1</v>
      </c>
      <c r="S111" s="653"/>
      <c r="T111" s="653"/>
      <c r="U111" s="653"/>
      <c r="V111" s="653"/>
      <c r="W111" s="653">
        <v>713.04</v>
      </c>
      <c r="X111" s="653"/>
    </row>
    <row r="112" spans="4:24" x14ac:dyDescent="0.3">
      <c r="D112" s="676">
        <v>95</v>
      </c>
      <c r="E112" s="676">
        <v>500</v>
      </c>
      <c r="F112" s="676">
        <v>560</v>
      </c>
      <c r="G112" s="653"/>
      <c r="H112" s="653"/>
      <c r="I112" s="653"/>
      <c r="J112" s="653"/>
      <c r="K112" s="653"/>
      <c r="L112" s="653"/>
      <c r="M112" s="653"/>
      <c r="N112" s="653"/>
      <c r="O112" s="653">
        <v>713.39</v>
      </c>
      <c r="P112" s="653">
        <v>722.84</v>
      </c>
      <c r="Q112" s="653">
        <v>722.84</v>
      </c>
      <c r="R112" s="653">
        <v>722.84</v>
      </c>
      <c r="S112" s="653"/>
      <c r="T112" s="653"/>
      <c r="U112" s="653"/>
      <c r="V112" s="653"/>
      <c r="W112" s="653">
        <v>715</v>
      </c>
      <c r="X112" s="653"/>
    </row>
    <row r="113" spans="4:29" x14ac:dyDescent="0.3">
      <c r="D113" s="676">
        <v>96</v>
      </c>
      <c r="E113" s="676">
        <v>500</v>
      </c>
      <c r="F113" s="676">
        <v>560</v>
      </c>
      <c r="G113" s="653"/>
      <c r="H113" s="653"/>
      <c r="I113" s="653"/>
      <c r="J113" s="653"/>
      <c r="K113" s="653"/>
      <c r="L113" s="653"/>
      <c r="M113" s="653"/>
      <c r="N113" s="653"/>
      <c r="O113" s="653"/>
      <c r="P113" s="653"/>
      <c r="Q113" s="653"/>
      <c r="R113" s="653"/>
      <c r="S113" s="653"/>
      <c r="T113" s="653"/>
      <c r="U113" s="653"/>
      <c r="V113" s="653"/>
      <c r="W113" s="653"/>
      <c r="X113" s="653"/>
    </row>
    <row r="114" spans="4:29" x14ac:dyDescent="0.3">
      <c r="D114" s="676">
        <v>97</v>
      </c>
      <c r="E114" s="676">
        <v>500</v>
      </c>
      <c r="F114" s="676">
        <v>560</v>
      </c>
      <c r="G114" s="653"/>
      <c r="H114" s="653"/>
      <c r="I114" s="653"/>
      <c r="J114" s="653"/>
      <c r="K114" s="653"/>
      <c r="L114" s="653"/>
      <c r="M114" s="653"/>
      <c r="N114" s="653"/>
      <c r="O114" s="653"/>
      <c r="P114" s="653"/>
      <c r="Q114" s="653"/>
      <c r="R114" s="653"/>
      <c r="S114" s="653"/>
      <c r="T114" s="653"/>
      <c r="U114" s="653"/>
      <c r="V114" s="653"/>
      <c r="W114" s="653"/>
      <c r="X114" s="653"/>
    </row>
    <row r="115" spans="4:29" x14ac:dyDescent="0.3">
      <c r="D115" s="676">
        <v>98</v>
      </c>
      <c r="E115" s="676">
        <v>500</v>
      </c>
      <c r="F115" s="676">
        <v>560</v>
      </c>
      <c r="G115" s="653"/>
      <c r="H115" s="653"/>
      <c r="I115" s="653"/>
      <c r="J115" s="653"/>
      <c r="K115" s="653"/>
      <c r="L115" s="653"/>
      <c r="M115" s="653"/>
      <c r="N115" s="653"/>
      <c r="O115" s="653"/>
      <c r="P115" s="653"/>
      <c r="Q115" s="653"/>
      <c r="R115" s="653"/>
      <c r="S115" s="653"/>
      <c r="T115" s="653"/>
      <c r="U115" s="653"/>
      <c r="V115" s="653"/>
      <c r="W115" s="653"/>
      <c r="X115" s="653"/>
    </row>
    <row r="116" spans="4:29" x14ac:dyDescent="0.3">
      <c r="D116" s="676">
        <v>99</v>
      </c>
      <c r="E116" s="676">
        <v>500</v>
      </c>
      <c r="F116" s="676">
        <v>560</v>
      </c>
      <c r="G116" s="653"/>
      <c r="H116" s="653"/>
      <c r="I116" s="653"/>
      <c r="J116" s="653"/>
      <c r="K116" s="653"/>
      <c r="L116" s="653"/>
      <c r="M116" s="653"/>
      <c r="N116" s="653"/>
      <c r="O116" s="653"/>
      <c r="P116" s="653"/>
      <c r="Q116" s="653"/>
      <c r="R116" s="653"/>
      <c r="S116" s="653"/>
      <c r="T116" s="653"/>
      <c r="U116" s="653"/>
      <c r="V116" s="653"/>
      <c r="W116" s="653"/>
      <c r="X116" s="653"/>
    </row>
    <row r="117" spans="4:29" x14ac:dyDescent="0.3">
      <c r="D117" s="676">
        <v>100</v>
      </c>
      <c r="E117" s="676">
        <v>500</v>
      </c>
      <c r="F117" s="676">
        <v>560</v>
      </c>
      <c r="G117" s="653"/>
      <c r="H117" s="653"/>
      <c r="I117" s="653"/>
      <c r="J117" s="653"/>
      <c r="K117" s="653"/>
      <c r="L117" s="653"/>
      <c r="M117" s="653"/>
      <c r="N117" s="653"/>
      <c r="O117" s="653"/>
      <c r="P117" s="653"/>
      <c r="Q117" s="653"/>
      <c r="R117" s="653"/>
      <c r="S117" s="653"/>
      <c r="T117" s="653"/>
      <c r="U117" s="653"/>
      <c r="V117" s="653"/>
      <c r="W117" s="653"/>
      <c r="X117" s="653"/>
    </row>
    <row r="120" spans="4:29" x14ac:dyDescent="0.3">
      <c r="X120" s="859" t="s">
        <v>517</v>
      </c>
      <c r="Y120" s="859"/>
      <c r="Z120" s="859"/>
      <c r="AA120" s="859"/>
      <c r="AB120" s="859"/>
      <c r="AC120" s="859"/>
    </row>
    <row r="121" spans="4:29" ht="18" thickBot="1" x14ac:dyDescent="0.35">
      <c r="D121" s="728" t="s">
        <v>1</v>
      </c>
      <c r="E121" s="538" t="s">
        <v>332</v>
      </c>
      <c r="F121" s="538" t="s">
        <v>333</v>
      </c>
      <c r="G121" s="538" t="s">
        <v>334</v>
      </c>
      <c r="H121" s="538" t="s">
        <v>335</v>
      </c>
      <c r="I121" s="538" t="s">
        <v>336</v>
      </c>
      <c r="J121" s="538" t="s">
        <v>337</v>
      </c>
      <c r="K121" s="538" t="s">
        <v>371</v>
      </c>
      <c r="L121" s="538" t="s">
        <v>372</v>
      </c>
      <c r="M121" s="538" t="s">
        <v>373</v>
      </c>
      <c r="N121" s="538" t="s">
        <v>519</v>
      </c>
      <c r="Q121" s="538" t="s">
        <v>334</v>
      </c>
      <c r="R121" s="538" t="s">
        <v>334</v>
      </c>
      <c r="S121" s="538" t="s">
        <v>372</v>
      </c>
      <c r="T121" s="538" t="s">
        <v>372</v>
      </c>
      <c r="U121" s="538" t="s">
        <v>373</v>
      </c>
      <c r="V121" s="538" t="s">
        <v>373</v>
      </c>
    </row>
    <row r="122" spans="4:29" x14ac:dyDescent="0.3">
      <c r="D122" s="672" t="s">
        <v>107</v>
      </c>
      <c r="E122" s="674">
        <v>191224</v>
      </c>
      <c r="F122" s="674">
        <v>201224</v>
      </c>
      <c r="G122" s="674">
        <v>211224</v>
      </c>
      <c r="H122" s="674">
        <v>221224</v>
      </c>
      <c r="I122" s="674">
        <v>231224</v>
      </c>
      <c r="J122" s="674">
        <v>241224</v>
      </c>
      <c r="K122" s="674">
        <v>251224</v>
      </c>
      <c r="L122" s="674">
        <v>261224</v>
      </c>
      <c r="M122" s="674">
        <v>271224</v>
      </c>
      <c r="N122" s="674">
        <v>281224</v>
      </c>
      <c r="Q122" s="538" t="s">
        <v>508</v>
      </c>
      <c r="R122" s="538" t="s">
        <v>509</v>
      </c>
      <c r="S122" s="538" t="s">
        <v>508</v>
      </c>
      <c r="T122" s="538" t="s">
        <v>509</v>
      </c>
      <c r="U122" s="538" t="s">
        <v>508</v>
      </c>
      <c r="V122" s="538" t="s">
        <v>509</v>
      </c>
      <c r="X122" s="801" t="s">
        <v>334</v>
      </c>
      <c r="Y122" s="802" t="s">
        <v>334</v>
      </c>
      <c r="Z122" s="801" t="s">
        <v>372</v>
      </c>
      <c r="AA122" s="803" t="s">
        <v>372</v>
      </c>
      <c r="AB122" s="801" t="s">
        <v>373</v>
      </c>
      <c r="AC122" s="802" t="s">
        <v>373</v>
      </c>
    </row>
    <row r="123" spans="4:29" x14ac:dyDescent="0.3">
      <c r="D123" s="676">
        <v>0</v>
      </c>
      <c r="E123" s="678">
        <v>36.799999999999997</v>
      </c>
      <c r="F123" s="678">
        <v>36.5</v>
      </c>
      <c r="G123" s="678">
        <v>11.3</v>
      </c>
      <c r="H123" s="678">
        <v>11.1</v>
      </c>
      <c r="I123" s="678">
        <v>11.5</v>
      </c>
      <c r="J123" s="678">
        <v>11.2</v>
      </c>
      <c r="K123" s="678">
        <v>11.7</v>
      </c>
      <c r="L123" s="678">
        <v>11.3</v>
      </c>
      <c r="M123" s="678">
        <v>11.2</v>
      </c>
      <c r="N123" s="678">
        <v>11.4</v>
      </c>
      <c r="Q123" s="538">
        <v>100</v>
      </c>
      <c r="R123" s="538">
        <v>95.55</v>
      </c>
      <c r="S123" s="538">
        <v>97</v>
      </c>
      <c r="T123" s="538">
        <v>83.48</v>
      </c>
      <c r="U123" s="538">
        <v>99</v>
      </c>
      <c r="V123" s="538">
        <v>83.78</v>
      </c>
      <c r="W123" s="530" t="s">
        <v>354</v>
      </c>
      <c r="X123" s="804" t="s">
        <v>508</v>
      </c>
      <c r="Y123" s="805" t="s">
        <v>509</v>
      </c>
      <c r="Z123" s="804" t="s">
        <v>508</v>
      </c>
      <c r="AA123" s="530" t="s">
        <v>509</v>
      </c>
      <c r="AB123" s="804" t="s">
        <v>508</v>
      </c>
      <c r="AC123" s="805" t="s">
        <v>509</v>
      </c>
    </row>
    <row r="124" spans="4:29" x14ac:dyDescent="0.3">
      <c r="D124" s="676">
        <v>1</v>
      </c>
      <c r="E124" s="678">
        <v>62.4</v>
      </c>
      <c r="F124" s="678">
        <v>56.9</v>
      </c>
      <c r="G124" s="678">
        <v>11.9</v>
      </c>
      <c r="H124" s="678">
        <v>11.8</v>
      </c>
      <c r="I124" s="678">
        <v>12.2</v>
      </c>
      <c r="J124" s="678">
        <v>12</v>
      </c>
      <c r="K124" s="678">
        <v>12.4</v>
      </c>
      <c r="L124" s="678">
        <v>12</v>
      </c>
      <c r="M124" s="678">
        <v>11.9</v>
      </c>
      <c r="N124" s="678">
        <v>12.2</v>
      </c>
      <c r="Q124" s="538">
        <v>126</v>
      </c>
      <c r="R124" s="538">
        <v>121.33</v>
      </c>
      <c r="S124" s="538">
        <v>120</v>
      </c>
      <c r="T124" s="538">
        <v>100.6</v>
      </c>
      <c r="U124" s="538">
        <v>122</v>
      </c>
      <c r="V124" s="538">
        <v>103.64</v>
      </c>
      <c r="W124" s="530" t="s">
        <v>187</v>
      </c>
      <c r="X124" s="789">
        <v>0.30299999999999999</v>
      </c>
      <c r="Y124" s="790">
        <v>0.4</v>
      </c>
      <c r="Z124" s="789">
        <v>0.40899999999999997</v>
      </c>
      <c r="AA124" s="799">
        <v>0.79</v>
      </c>
      <c r="AB124" s="789">
        <v>0.35099999999999998</v>
      </c>
      <c r="AC124" s="790">
        <v>0.63</v>
      </c>
    </row>
    <row r="125" spans="4:29" x14ac:dyDescent="0.3">
      <c r="D125" s="676">
        <v>2</v>
      </c>
      <c r="E125" s="678">
        <v>83.8</v>
      </c>
      <c r="F125" s="678">
        <v>69.5</v>
      </c>
      <c r="G125" s="678">
        <v>28.1</v>
      </c>
      <c r="H125" s="678">
        <v>27.8</v>
      </c>
      <c r="I125" s="678">
        <v>28.4</v>
      </c>
      <c r="J125" s="678">
        <v>28</v>
      </c>
      <c r="K125" s="678">
        <v>29.1</v>
      </c>
      <c r="L125" s="678">
        <v>27.9</v>
      </c>
      <c r="M125" s="678">
        <v>27.8</v>
      </c>
      <c r="N125" s="678">
        <v>28.4</v>
      </c>
      <c r="Q125" s="538">
        <v>152</v>
      </c>
      <c r="R125" s="538">
        <v>152.68</v>
      </c>
      <c r="S125" s="538">
        <v>150</v>
      </c>
      <c r="T125" s="538">
        <v>139.77000000000001</v>
      </c>
      <c r="U125" s="538">
        <v>149</v>
      </c>
      <c r="V125" s="538">
        <v>139.93</v>
      </c>
      <c r="W125" s="530" t="s">
        <v>188</v>
      </c>
      <c r="X125" s="789">
        <v>1.9850000000000001</v>
      </c>
      <c r="Y125" s="790">
        <v>1.93</v>
      </c>
      <c r="Z125" s="789">
        <v>1.9790000000000001</v>
      </c>
      <c r="AA125" s="799">
        <v>1.97</v>
      </c>
      <c r="AB125" s="789">
        <v>2.177</v>
      </c>
      <c r="AC125" s="790">
        <v>2.15</v>
      </c>
    </row>
    <row r="126" spans="4:29" x14ac:dyDescent="0.3">
      <c r="D126" s="676">
        <v>3</v>
      </c>
      <c r="E126" s="678">
        <v>91.4</v>
      </c>
      <c r="F126" s="678">
        <v>84.6</v>
      </c>
      <c r="G126" s="678">
        <v>36.6</v>
      </c>
      <c r="H126" s="678">
        <v>36.5</v>
      </c>
      <c r="I126" s="678">
        <v>36.9</v>
      </c>
      <c r="J126" s="678">
        <v>36.700000000000003</v>
      </c>
      <c r="K126" s="678">
        <v>37.1</v>
      </c>
      <c r="L126" s="678">
        <v>36.5</v>
      </c>
      <c r="M126" s="678">
        <v>36.5</v>
      </c>
      <c r="N126" s="678">
        <v>36.9</v>
      </c>
      <c r="Q126" s="538">
        <v>172</v>
      </c>
      <c r="R126" s="538">
        <v>172.57</v>
      </c>
      <c r="S126" s="538">
        <v>169</v>
      </c>
      <c r="T126" s="538">
        <v>163.13</v>
      </c>
      <c r="U126" s="538">
        <v>165</v>
      </c>
      <c r="V126" s="538">
        <v>163</v>
      </c>
      <c r="W126" s="530" t="s">
        <v>189</v>
      </c>
      <c r="X126" s="789">
        <v>7.9939999999999998</v>
      </c>
      <c r="Y126" s="790">
        <v>6.87</v>
      </c>
      <c r="Z126" s="789">
        <v>7.92</v>
      </c>
      <c r="AA126" s="799">
        <v>7.11</v>
      </c>
      <c r="AB126" s="789">
        <v>8.4849999999999994</v>
      </c>
      <c r="AC126" s="790">
        <v>7.22</v>
      </c>
    </row>
    <row r="127" spans="4:29" x14ac:dyDescent="0.3">
      <c r="D127" s="676">
        <v>4</v>
      </c>
      <c r="E127" s="678">
        <v>99.2</v>
      </c>
      <c r="F127" s="678">
        <v>91.6</v>
      </c>
      <c r="G127" s="678">
        <v>37.200000000000003</v>
      </c>
      <c r="H127" s="678">
        <v>37</v>
      </c>
      <c r="I127" s="678">
        <v>37.4</v>
      </c>
      <c r="J127" s="678">
        <v>37.200000000000003</v>
      </c>
      <c r="K127" s="678">
        <v>37.9</v>
      </c>
      <c r="L127" s="678">
        <v>37.1</v>
      </c>
      <c r="M127" s="678">
        <v>37</v>
      </c>
      <c r="N127" s="678">
        <v>37.4</v>
      </c>
      <c r="Q127" s="538">
        <v>187</v>
      </c>
      <c r="R127" s="538">
        <v>189.45</v>
      </c>
      <c r="S127" s="538">
        <v>185</v>
      </c>
      <c r="T127" s="538">
        <v>181.27</v>
      </c>
      <c r="U127" s="538">
        <v>179</v>
      </c>
      <c r="V127" s="538">
        <v>180.54</v>
      </c>
      <c r="W127" s="530" t="s">
        <v>190</v>
      </c>
      <c r="X127" s="789">
        <v>17.683</v>
      </c>
      <c r="Y127" s="790">
        <v>16.899999999999999</v>
      </c>
      <c r="Z127" s="789">
        <v>17.521999999999998</v>
      </c>
      <c r="AA127" s="799">
        <v>17.21</v>
      </c>
      <c r="AB127" s="789">
        <v>18.216000000000001</v>
      </c>
      <c r="AC127" s="790">
        <v>17.649999999999999</v>
      </c>
    </row>
    <row r="128" spans="4:29" x14ac:dyDescent="0.3">
      <c r="D128" s="676">
        <v>5</v>
      </c>
      <c r="E128" s="678">
        <v>102.9</v>
      </c>
      <c r="F128" s="678">
        <v>99</v>
      </c>
      <c r="G128" s="678">
        <v>57.2</v>
      </c>
      <c r="H128" s="678">
        <v>56.6</v>
      </c>
      <c r="I128" s="678">
        <v>57.4</v>
      </c>
      <c r="J128" s="678">
        <v>55.9</v>
      </c>
      <c r="K128" s="678">
        <v>58</v>
      </c>
      <c r="L128" s="678">
        <v>56.6</v>
      </c>
      <c r="M128" s="678">
        <v>56.3</v>
      </c>
      <c r="N128" s="678">
        <v>57.3</v>
      </c>
      <c r="Q128" s="538">
        <v>199</v>
      </c>
      <c r="R128" s="538">
        <v>203.23</v>
      </c>
      <c r="S128" s="538">
        <v>198</v>
      </c>
      <c r="T128" s="538">
        <v>197.13</v>
      </c>
      <c r="U128" s="538">
        <v>193</v>
      </c>
      <c r="V128" s="538">
        <v>195.45</v>
      </c>
      <c r="W128" s="530" t="s">
        <v>191</v>
      </c>
      <c r="X128" s="789">
        <v>30.966999999999999</v>
      </c>
      <c r="Y128" s="790">
        <v>29.89</v>
      </c>
      <c r="Z128" s="789">
        <v>30.042999999999999</v>
      </c>
      <c r="AA128" s="799">
        <v>29.71</v>
      </c>
      <c r="AB128" s="789">
        <v>30.965</v>
      </c>
      <c r="AC128" s="790">
        <v>30.88</v>
      </c>
    </row>
    <row r="129" spans="4:29" x14ac:dyDescent="0.3">
      <c r="D129" s="676">
        <v>6</v>
      </c>
      <c r="E129" s="678">
        <v>113.5</v>
      </c>
      <c r="F129" s="678">
        <v>102.5</v>
      </c>
      <c r="G129" s="678">
        <v>61.9</v>
      </c>
      <c r="H129" s="678">
        <v>58.1</v>
      </c>
      <c r="I129" s="678">
        <v>58.9</v>
      </c>
      <c r="J129" s="678">
        <v>58.2</v>
      </c>
      <c r="K129" s="678">
        <v>63.1</v>
      </c>
      <c r="L129" s="678">
        <v>58.1</v>
      </c>
      <c r="M129" s="678">
        <v>57.9</v>
      </c>
      <c r="N129" s="678">
        <v>58.7</v>
      </c>
      <c r="Q129" s="538">
        <v>210</v>
      </c>
      <c r="R129" s="538">
        <v>215.87</v>
      </c>
      <c r="S129" s="538">
        <v>209</v>
      </c>
      <c r="T129" s="538">
        <v>209.1</v>
      </c>
      <c r="U129" s="538">
        <v>203</v>
      </c>
      <c r="V129" s="538">
        <v>208.08</v>
      </c>
      <c r="W129" s="530" t="s">
        <v>133</v>
      </c>
      <c r="X129" s="789">
        <v>13.996</v>
      </c>
      <c r="Y129" s="790">
        <v>14.02</v>
      </c>
      <c r="Z129" s="789">
        <v>13.016999999999999</v>
      </c>
      <c r="AA129" s="799">
        <v>13.31</v>
      </c>
      <c r="AB129" s="789">
        <v>13.379</v>
      </c>
      <c r="AC129" s="790">
        <v>13.7</v>
      </c>
    </row>
    <row r="130" spans="4:29" x14ac:dyDescent="0.3">
      <c r="D130" s="676">
        <v>7</v>
      </c>
      <c r="E130" s="678">
        <v>118</v>
      </c>
      <c r="F130" s="678">
        <v>112.3</v>
      </c>
      <c r="G130" s="678">
        <v>69.3</v>
      </c>
      <c r="H130" s="678">
        <v>68.900000000000006</v>
      </c>
      <c r="I130" s="678">
        <v>69.5</v>
      </c>
      <c r="J130" s="678">
        <v>64.3</v>
      </c>
      <c r="K130" s="678">
        <v>69.8</v>
      </c>
      <c r="L130" s="678">
        <v>68.7</v>
      </c>
      <c r="M130" s="678">
        <v>68.5</v>
      </c>
      <c r="N130" s="678">
        <v>69.400000000000006</v>
      </c>
      <c r="Q130" s="538">
        <v>220</v>
      </c>
      <c r="R130" s="538">
        <v>226.97</v>
      </c>
      <c r="S130" s="538">
        <v>219</v>
      </c>
      <c r="T130" s="538">
        <v>220.51</v>
      </c>
      <c r="U130" s="538">
        <v>214</v>
      </c>
      <c r="V130" s="538">
        <v>219.63</v>
      </c>
      <c r="W130" s="530" t="s">
        <v>355</v>
      </c>
      <c r="X130" s="791">
        <f>100-SUM(X124:X129)</f>
        <v>27.072000000000003</v>
      </c>
      <c r="Y130" s="792">
        <v>29.990000000000009</v>
      </c>
      <c r="Z130" s="791">
        <f>100-SUM(Z124:Z129)</f>
        <v>29.11</v>
      </c>
      <c r="AA130" s="798">
        <v>29.899999999999991</v>
      </c>
      <c r="AB130" s="791">
        <f>100-SUM(AB124:AB129)</f>
        <v>26.426999999999992</v>
      </c>
      <c r="AC130" s="792">
        <f>100-SUM(AC124:AC129)</f>
        <v>27.769999999999996</v>
      </c>
    </row>
    <row r="131" spans="4:29" ht="18" thickBot="1" x14ac:dyDescent="0.35">
      <c r="D131" s="676">
        <v>8</v>
      </c>
      <c r="E131" s="678">
        <v>119.8</v>
      </c>
      <c r="F131" s="678">
        <v>117.5</v>
      </c>
      <c r="G131" s="678">
        <v>69.7</v>
      </c>
      <c r="H131" s="678">
        <v>69.5</v>
      </c>
      <c r="I131" s="678">
        <v>70.099999999999994</v>
      </c>
      <c r="J131" s="678">
        <v>69.7</v>
      </c>
      <c r="K131" s="678">
        <v>70.2</v>
      </c>
      <c r="L131" s="678">
        <v>69.400000000000006</v>
      </c>
      <c r="M131" s="678">
        <v>69.400000000000006</v>
      </c>
      <c r="N131" s="678">
        <v>70</v>
      </c>
      <c r="Q131" s="538">
        <v>230</v>
      </c>
      <c r="R131" s="538">
        <v>237.07</v>
      </c>
      <c r="S131" s="538">
        <v>229</v>
      </c>
      <c r="T131" s="538">
        <v>231.51</v>
      </c>
      <c r="U131" s="538">
        <v>223</v>
      </c>
      <c r="V131" s="538">
        <v>230.41</v>
      </c>
      <c r="W131" s="530" t="s">
        <v>356</v>
      </c>
      <c r="X131" s="793">
        <f>SUM(X124:X130)</f>
        <v>100</v>
      </c>
      <c r="Y131" s="794">
        <f t="shared" ref="Y131:AA131" si="0">SUM(Y124:Y130)</f>
        <v>100</v>
      </c>
      <c r="Z131" s="793">
        <f t="shared" si="0"/>
        <v>100</v>
      </c>
      <c r="AA131" s="800">
        <f t="shared" si="0"/>
        <v>100</v>
      </c>
      <c r="AB131" s="793">
        <f t="shared" ref="AB131:AC131" si="1">SUM(AB124:AB130)</f>
        <v>100</v>
      </c>
      <c r="AC131" s="794">
        <f t="shared" si="1"/>
        <v>100</v>
      </c>
    </row>
    <row r="132" spans="4:29" x14ac:dyDescent="0.3">
      <c r="D132" s="676">
        <v>9</v>
      </c>
      <c r="E132" s="678">
        <v>126.7</v>
      </c>
      <c r="F132" s="678">
        <v>119.2</v>
      </c>
      <c r="G132" s="678">
        <v>70.3</v>
      </c>
      <c r="H132" s="678">
        <v>69.8</v>
      </c>
      <c r="I132" s="678">
        <v>70.5</v>
      </c>
      <c r="J132" s="678">
        <v>70</v>
      </c>
      <c r="K132" s="678">
        <v>75.599999999999994</v>
      </c>
      <c r="L132" s="678">
        <v>69.7</v>
      </c>
      <c r="M132" s="678">
        <v>69.7</v>
      </c>
      <c r="N132" s="678">
        <v>70.400000000000006</v>
      </c>
      <c r="Q132" s="538">
        <v>238</v>
      </c>
      <c r="R132" s="538">
        <v>248.03</v>
      </c>
      <c r="S132" s="538">
        <v>238</v>
      </c>
      <c r="T132" s="538">
        <v>241.52</v>
      </c>
      <c r="U132" s="538">
        <v>233</v>
      </c>
      <c r="V132" s="538">
        <v>239.97</v>
      </c>
    </row>
    <row r="133" spans="4:29" x14ac:dyDescent="0.3">
      <c r="D133" s="676">
        <v>10</v>
      </c>
      <c r="E133" s="678">
        <v>127.6</v>
      </c>
      <c r="F133" s="678">
        <v>124</v>
      </c>
      <c r="G133" s="678">
        <v>83.6</v>
      </c>
      <c r="H133" s="678">
        <v>75.7</v>
      </c>
      <c r="I133" s="678">
        <v>77.5</v>
      </c>
      <c r="J133" s="678">
        <v>75.8</v>
      </c>
      <c r="K133" s="678">
        <v>84.6</v>
      </c>
      <c r="L133" s="678">
        <v>75.599999999999994</v>
      </c>
      <c r="M133" s="678">
        <v>75.400000000000006</v>
      </c>
      <c r="N133" s="678">
        <v>76.2</v>
      </c>
      <c r="Q133" s="538">
        <v>248</v>
      </c>
      <c r="R133" s="538">
        <v>256.95999999999998</v>
      </c>
      <c r="S133" s="538">
        <v>247</v>
      </c>
      <c r="T133" s="538">
        <v>251.17</v>
      </c>
      <c r="U133" s="538">
        <v>241</v>
      </c>
      <c r="V133" s="538">
        <v>249.92</v>
      </c>
    </row>
    <row r="134" spans="4:29" x14ac:dyDescent="0.3">
      <c r="D134" s="676">
        <v>11</v>
      </c>
      <c r="E134" s="678">
        <v>132.30000000000001</v>
      </c>
      <c r="F134" s="678">
        <v>127.1</v>
      </c>
      <c r="G134" s="678">
        <v>88.2</v>
      </c>
      <c r="H134" s="678">
        <v>84.9</v>
      </c>
      <c r="I134" s="678">
        <v>88.5</v>
      </c>
      <c r="J134" s="678">
        <v>85</v>
      </c>
      <c r="K134" s="678">
        <v>89</v>
      </c>
      <c r="L134" s="678">
        <v>85.2</v>
      </c>
      <c r="M134" s="678">
        <v>84.4</v>
      </c>
      <c r="N134" s="678">
        <v>88.4</v>
      </c>
      <c r="Q134" s="538">
        <v>255</v>
      </c>
      <c r="R134" s="538">
        <v>265.81</v>
      </c>
      <c r="S134" s="538">
        <v>255</v>
      </c>
      <c r="T134" s="538">
        <v>259.89</v>
      </c>
      <c r="U134" s="538">
        <v>250</v>
      </c>
      <c r="V134" s="538">
        <v>258.45</v>
      </c>
    </row>
    <row r="135" spans="4:29" x14ac:dyDescent="0.3">
      <c r="D135" s="676">
        <v>12</v>
      </c>
      <c r="E135" s="678">
        <v>134.9</v>
      </c>
      <c r="F135" s="678">
        <v>127.7</v>
      </c>
      <c r="G135" s="678">
        <v>90.6</v>
      </c>
      <c r="H135" s="678">
        <v>88.8</v>
      </c>
      <c r="I135" s="678">
        <v>89.8</v>
      </c>
      <c r="J135" s="678">
        <v>89.5</v>
      </c>
      <c r="K135" s="678">
        <v>91.6</v>
      </c>
      <c r="L135" s="678">
        <v>88.7</v>
      </c>
      <c r="M135" s="678">
        <v>88.6</v>
      </c>
      <c r="N135" s="678">
        <v>89.8</v>
      </c>
      <c r="Q135" s="538">
        <v>263</v>
      </c>
      <c r="R135" s="538">
        <v>273.86</v>
      </c>
      <c r="S135" s="538">
        <v>263</v>
      </c>
      <c r="T135" s="538">
        <v>268.35000000000002</v>
      </c>
      <c r="U135" s="538">
        <v>257</v>
      </c>
      <c r="V135" s="538">
        <v>267.05</v>
      </c>
    </row>
    <row r="136" spans="4:29" x14ac:dyDescent="0.3">
      <c r="D136" s="676">
        <v>13</v>
      </c>
      <c r="E136" s="678">
        <v>139.4</v>
      </c>
      <c r="F136" s="678">
        <v>134.19999999999999</v>
      </c>
      <c r="G136" s="678">
        <v>92.6</v>
      </c>
      <c r="H136" s="678">
        <v>91.2</v>
      </c>
      <c r="I136" s="678">
        <v>92.3</v>
      </c>
      <c r="J136" s="678">
        <v>92</v>
      </c>
      <c r="K136" s="678">
        <v>94.6</v>
      </c>
      <c r="L136" s="678">
        <v>91.2</v>
      </c>
      <c r="M136" s="678">
        <v>91</v>
      </c>
      <c r="N136" s="678">
        <v>92.3</v>
      </c>
      <c r="Q136" s="538">
        <v>271</v>
      </c>
      <c r="R136" s="538">
        <v>281.76</v>
      </c>
      <c r="S136" s="538">
        <v>271</v>
      </c>
      <c r="T136" s="538">
        <v>276.24</v>
      </c>
      <c r="U136" s="538">
        <v>265</v>
      </c>
      <c r="V136" s="538">
        <v>274.61</v>
      </c>
    </row>
    <row r="137" spans="4:29" x14ac:dyDescent="0.3">
      <c r="D137" s="676">
        <v>14</v>
      </c>
      <c r="E137" s="678">
        <v>141.9</v>
      </c>
      <c r="F137" s="678">
        <v>138.69999999999999</v>
      </c>
      <c r="G137" s="678">
        <v>98.8</v>
      </c>
      <c r="H137" s="678">
        <v>98.3</v>
      </c>
      <c r="I137" s="678">
        <v>99.2</v>
      </c>
      <c r="J137" s="678">
        <v>98.8</v>
      </c>
      <c r="K137" s="678">
        <v>99.4</v>
      </c>
      <c r="L137" s="678">
        <v>98.2</v>
      </c>
      <c r="M137" s="678">
        <v>97.9</v>
      </c>
      <c r="N137" s="678">
        <v>99.2</v>
      </c>
      <c r="Q137" s="538">
        <v>279</v>
      </c>
      <c r="R137" s="538">
        <v>289.23</v>
      </c>
      <c r="S137" s="538">
        <v>279</v>
      </c>
      <c r="T137" s="538">
        <v>283.89999999999998</v>
      </c>
      <c r="U137" s="538">
        <v>272</v>
      </c>
      <c r="V137" s="538">
        <v>282.22000000000003</v>
      </c>
    </row>
    <row r="138" spans="4:29" x14ac:dyDescent="0.3">
      <c r="D138" s="676">
        <v>15</v>
      </c>
      <c r="E138" s="678">
        <v>144.6</v>
      </c>
      <c r="F138" s="678">
        <v>141.4</v>
      </c>
      <c r="G138" s="678">
        <v>99.3</v>
      </c>
      <c r="H138" s="678">
        <v>98.8</v>
      </c>
      <c r="I138" s="678">
        <v>99.9</v>
      </c>
      <c r="J138" s="678">
        <v>99.6</v>
      </c>
      <c r="K138" s="678">
        <v>99.8</v>
      </c>
      <c r="L138" s="678">
        <v>98.8</v>
      </c>
      <c r="M138" s="678">
        <v>98.7</v>
      </c>
      <c r="N138" s="678">
        <v>99.8</v>
      </c>
      <c r="Q138" s="538">
        <v>286</v>
      </c>
      <c r="R138" s="538">
        <v>296.06</v>
      </c>
      <c r="S138" s="538">
        <v>286</v>
      </c>
      <c r="T138" s="538">
        <v>291.12</v>
      </c>
      <c r="U138" s="538">
        <v>280</v>
      </c>
      <c r="V138" s="538">
        <v>289.24</v>
      </c>
    </row>
    <row r="139" spans="4:29" x14ac:dyDescent="0.3">
      <c r="D139" s="676">
        <v>16</v>
      </c>
      <c r="E139" s="678">
        <v>146.69999999999999</v>
      </c>
      <c r="F139" s="678">
        <v>143.9</v>
      </c>
      <c r="G139" s="678">
        <v>99.8</v>
      </c>
      <c r="H139" s="678">
        <v>99.2</v>
      </c>
      <c r="I139" s="678">
        <v>100.3</v>
      </c>
      <c r="J139" s="678">
        <v>99.9</v>
      </c>
      <c r="K139" s="678">
        <v>102.9</v>
      </c>
      <c r="L139" s="678">
        <v>99.1</v>
      </c>
      <c r="M139" s="678">
        <v>99.1</v>
      </c>
      <c r="N139" s="678">
        <v>100.2</v>
      </c>
      <c r="Q139" s="538">
        <v>293</v>
      </c>
      <c r="R139" s="538">
        <v>302.16000000000003</v>
      </c>
      <c r="S139" s="538">
        <v>293</v>
      </c>
      <c r="T139" s="538">
        <v>297.76</v>
      </c>
      <c r="U139" s="538">
        <v>287</v>
      </c>
      <c r="V139" s="538">
        <v>295.83999999999997</v>
      </c>
    </row>
    <row r="140" spans="4:29" x14ac:dyDescent="0.3">
      <c r="D140" s="676">
        <v>17</v>
      </c>
      <c r="E140" s="678">
        <v>149.6</v>
      </c>
      <c r="F140" s="678">
        <v>146</v>
      </c>
      <c r="G140" s="678">
        <v>103.1</v>
      </c>
      <c r="H140" s="678">
        <v>102.5</v>
      </c>
      <c r="I140" s="678">
        <v>103.5</v>
      </c>
      <c r="J140" s="678">
        <v>103.1</v>
      </c>
      <c r="K140" s="678">
        <v>106.4</v>
      </c>
      <c r="L140" s="678">
        <v>102.4</v>
      </c>
      <c r="M140" s="678">
        <v>102.3</v>
      </c>
      <c r="N140" s="678">
        <v>103.4</v>
      </c>
      <c r="Q140" s="538">
        <v>300</v>
      </c>
      <c r="R140" s="538">
        <v>308.88</v>
      </c>
      <c r="S140" s="538">
        <v>300</v>
      </c>
      <c r="T140" s="538">
        <v>303.61</v>
      </c>
      <c r="U140" s="538">
        <v>293</v>
      </c>
      <c r="V140" s="538">
        <v>301.66000000000003</v>
      </c>
    </row>
    <row r="141" spans="4:29" x14ac:dyDescent="0.3">
      <c r="D141" s="676">
        <v>18</v>
      </c>
      <c r="E141" s="678">
        <v>153.19999999999999</v>
      </c>
      <c r="F141" s="678">
        <v>148.19999999999999</v>
      </c>
      <c r="G141" s="678">
        <v>109.5</v>
      </c>
      <c r="H141" s="678">
        <v>106.5</v>
      </c>
      <c r="I141" s="678">
        <v>108</v>
      </c>
      <c r="J141" s="678">
        <v>106.8</v>
      </c>
      <c r="K141" s="678">
        <v>113.8</v>
      </c>
      <c r="L141" s="678">
        <v>106.5</v>
      </c>
      <c r="M141" s="678">
        <v>106</v>
      </c>
      <c r="N141" s="678">
        <v>107.3</v>
      </c>
      <c r="Q141" s="538">
        <v>306</v>
      </c>
      <c r="R141" s="538">
        <v>314.67</v>
      </c>
      <c r="S141" s="538">
        <v>306</v>
      </c>
      <c r="T141" s="538">
        <v>310.04000000000002</v>
      </c>
      <c r="U141" s="538">
        <v>300</v>
      </c>
      <c r="V141" s="538">
        <v>308.17</v>
      </c>
    </row>
    <row r="142" spans="4:29" x14ac:dyDescent="0.3">
      <c r="D142" s="676">
        <v>19</v>
      </c>
      <c r="E142" s="678">
        <v>153.69999999999999</v>
      </c>
      <c r="F142" s="678">
        <v>152.5</v>
      </c>
      <c r="G142" s="678">
        <v>115.9</v>
      </c>
      <c r="H142" s="678">
        <v>113.7</v>
      </c>
      <c r="I142" s="678">
        <v>114.8</v>
      </c>
      <c r="J142" s="678">
        <v>114.1</v>
      </c>
      <c r="K142" s="678">
        <v>117.9</v>
      </c>
      <c r="L142" s="678">
        <v>113.7</v>
      </c>
      <c r="M142" s="678">
        <v>113.4</v>
      </c>
      <c r="N142" s="678">
        <v>114.4</v>
      </c>
      <c r="Q142" s="538">
        <v>312</v>
      </c>
      <c r="R142" s="538">
        <v>321.02999999999997</v>
      </c>
      <c r="S142" s="538">
        <v>312</v>
      </c>
      <c r="T142" s="538">
        <v>315.44</v>
      </c>
      <c r="U142" s="538">
        <v>306</v>
      </c>
      <c r="V142" s="538">
        <v>314</v>
      </c>
    </row>
    <row r="143" spans="4:29" x14ac:dyDescent="0.3">
      <c r="D143" s="676">
        <v>20</v>
      </c>
      <c r="E143" s="678">
        <v>157.30000000000001</v>
      </c>
      <c r="F143" s="678">
        <v>152.9</v>
      </c>
      <c r="G143" s="678">
        <v>118</v>
      </c>
      <c r="H143" s="678">
        <v>117.5</v>
      </c>
      <c r="I143" s="678">
        <v>118.5</v>
      </c>
      <c r="J143" s="678">
        <v>118.1</v>
      </c>
      <c r="K143" s="678">
        <v>118.8</v>
      </c>
      <c r="L143" s="678">
        <v>117.6</v>
      </c>
      <c r="M143" s="678">
        <v>117.4</v>
      </c>
      <c r="N143" s="678">
        <v>118.3</v>
      </c>
      <c r="Q143" s="538">
        <v>317</v>
      </c>
      <c r="R143" s="538">
        <v>327.3</v>
      </c>
      <c r="S143" s="538">
        <v>318</v>
      </c>
      <c r="T143" s="538">
        <v>321.87</v>
      </c>
      <c r="U143" s="538">
        <v>312</v>
      </c>
      <c r="V143" s="538">
        <v>319.86</v>
      </c>
    </row>
    <row r="144" spans="4:29" x14ac:dyDescent="0.3">
      <c r="D144" s="676">
        <v>21</v>
      </c>
      <c r="E144" s="678">
        <v>161.30000000000001</v>
      </c>
      <c r="F144" s="678">
        <v>156.1</v>
      </c>
      <c r="G144" s="678">
        <v>119.4</v>
      </c>
      <c r="H144" s="678">
        <v>118.5</v>
      </c>
      <c r="I144" s="678">
        <v>119.6</v>
      </c>
      <c r="J144" s="678">
        <v>118.9</v>
      </c>
      <c r="K144" s="678">
        <v>120.3</v>
      </c>
      <c r="L144" s="678">
        <v>118.5</v>
      </c>
      <c r="M144" s="678">
        <v>118.2</v>
      </c>
      <c r="N144" s="678">
        <v>119.3</v>
      </c>
      <c r="Q144" s="538">
        <v>323</v>
      </c>
      <c r="R144" s="538">
        <v>332.78</v>
      </c>
      <c r="S144" s="538">
        <v>324</v>
      </c>
      <c r="T144" s="538">
        <v>327.81</v>
      </c>
      <c r="U144" s="538">
        <v>317</v>
      </c>
      <c r="V144" s="538">
        <v>325.86</v>
      </c>
    </row>
    <row r="145" spans="4:22" x14ac:dyDescent="0.3">
      <c r="D145" s="676">
        <v>22</v>
      </c>
      <c r="E145" s="678">
        <v>163.5</v>
      </c>
      <c r="F145" s="678">
        <v>160.5</v>
      </c>
      <c r="G145" s="678">
        <v>122.9</v>
      </c>
      <c r="H145" s="678">
        <v>120.2</v>
      </c>
      <c r="I145" s="678">
        <v>122.6</v>
      </c>
      <c r="J145" s="678">
        <v>120.5</v>
      </c>
      <c r="K145" s="678">
        <v>126.7</v>
      </c>
      <c r="L145" s="678">
        <v>120.3</v>
      </c>
      <c r="M145" s="678">
        <v>119.8</v>
      </c>
      <c r="N145" s="678">
        <v>121</v>
      </c>
      <c r="Q145" s="538">
        <v>329</v>
      </c>
      <c r="R145" s="538">
        <v>338.53</v>
      </c>
      <c r="S145" s="538">
        <v>329</v>
      </c>
      <c r="T145" s="538">
        <v>333.46</v>
      </c>
      <c r="U145" s="538">
        <v>323</v>
      </c>
      <c r="V145" s="538">
        <v>330.99</v>
      </c>
    </row>
    <row r="146" spans="4:22" x14ac:dyDescent="0.3">
      <c r="D146" s="676">
        <v>23</v>
      </c>
      <c r="E146" s="678">
        <v>165.1</v>
      </c>
      <c r="F146" s="678">
        <v>162.69999999999999</v>
      </c>
      <c r="G146" s="678">
        <v>127.1</v>
      </c>
      <c r="H146" s="678">
        <v>126.6</v>
      </c>
      <c r="I146" s="678">
        <v>127.5</v>
      </c>
      <c r="J146" s="678">
        <v>126.8</v>
      </c>
      <c r="K146" s="678">
        <v>127.7</v>
      </c>
      <c r="L146" s="678">
        <v>126.7</v>
      </c>
      <c r="M146" s="678">
        <v>126.3</v>
      </c>
      <c r="N146" s="678">
        <v>127.2</v>
      </c>
      <c r="Q146" s="538">
        <v>335</v>
      </c>
      <c r="R146" s="538">
        <v>343.73</v>
      </c>
      <c r="S146" s="538">
        <v>335</v>
      </c>
      <c r="T146" s="538">
        <v>339.14</v>
      </c>
      <c r="U146" s="538">
        <v>328</v>
      </c>
      <c r="V146" s="538">
        <v>336.7</v>
      </c>
    </row>
    <row r="147" spans="4:22" x14ac:dyDescent="0.3">
      <c r="D147" s="676">
        <v>24</v>
      </c>
      <c r="E147" s="678">
        <v>168.2</v>
      </c>
      <c r="F147" s="678">
        <v>164.3</v>
      </c>
      <c r="G147" s="678">
        <v>127.7</v>
      </c>
      <c r="H147" s="678">
        <v>127.3</v>
      </c>
      <c r="I147" s="678">
        <v>128.19999999999999</v>
      </c>
      <c r="J147" s="678">
        <v>127.7</v>
      </c>
      <c r="K147" s="678">
        <v>128.1</v>
      </c>
      <c r="L147" s="678">
        <v>127.4</v>
      </c>
      <c r="M147" s="678">
        <v>127.2</v>
      </c>
      <c r="N147" s="678">
        <v>127.9</v>
      </c>
      <c r="Q147" s="538">
        <v>340</v>
      </c>
      <c r="R147" s="538">
        <v>349.23</v>
      </c>
      <c r="S147" s="538">
        <v>341</v>
      </c>
      <c r="T147" s="538">
        <v>344.22</v>
      </c>
      <c r="U147" s="538">
        <v>334</v>
      </c>
      <c r="V147" s="538">
        <v>341.89</v>
      </c>
    </row>
    <row r="148" spans="4:22" x14ac:dyDescent="0.3">
      <c r="D148" s="676">
        <v>25</v>
      </c>
      <c r="E148" s="678">
        <v>168.9</v>
      </c>
      <c r="F148" s="678">
        <v>167.3</v>
      </c>
      <c r="G148" s="678">
        <v>131.30000000000001</v>
      </c>
      <c r="H148" s="678">
        <v>127.7</v>
      </c>
      <c r="I148" s="678">
        <v>128.69999999999999</v>
      </c>
      <c r="J148" s="678">
        <v>128.1</v>
      </c>
      <c r="K148" s="678">
        <v>133.9</v>
      </c>
      <c r="L148" s="678">
        <v>127.8</v>
      </c>
      <c r="M148" s="678">
        <v>127.6</v>
      </c>
      <c r="N148" s="678">
        <v>128.30000000000001</v>
      </c>
      <c r="Q148" s="538">
        <v>345</v>
      </c>
      <c r="R148" s="538">
        <v>354.39</v>
      </c>
      <c r="S148" s="538">
        <v>345</v>
      </c>
      <c r="T148" s="538">
        <v>349.56</v>
      </c>
      <c r="U148" s="538">
        <v>339</v>
      </c>
      <c r="V148" s="538">
        <v>347</v>
      </c>
    </row>
    <row r="149" spans="4:22" x14ac:dyDescent="0.3">
      <c r="D149" s="676">
        <v>26</v>
      </c>
      <c r="E149" s="678">
        <v>171.1</v>
      </c>
      <c r="F149" s="678">
        <v>168</v>
      </c>
      <c r="G149" s="678">
        <v>134.5</v>
      </c>
      <c r="H149" s="678">
        <v>133.69999999999999</v>
      </c>
      <c r="I149" s="678">
        <v>134.6</v>
      </c>
      <c r="J149" s="678">
        <v>133.9</v>
      </c>
      <c r="K149" s="678">
        <v>136.69999999999999</v>
      </c>
      <c r="L149" s="678">
        <v>133.9</v>
      </c>
      <c r="M149" s="678">
        <v>133.5</v>
      </c>
      <c r="N149" s="678">
        <v>134.1</v>
      </c>
      <c r="Q149" s="538">
        <v>350</v>
      </c>
      <c r="R149" s="538">
        <v>359.48</v>
      </c>
      <c r="S149" s="538">
        <v>351</v>
      </c>
      <c r="T149" s="538">
        <v>354.49</v>
      </c>
      <c r="U149" s="538">
        <v>344</v>
      </c>
      <c r="V149" s="538">
        <v>352.13</v>
      </c>
    </row>
    <row r="150" spans="4:22" x14ac:dyDescent="0.3">
      <c r="D150" s="676">
        <v>27</v>
      </c>
      <c r="E150" s="678">
        <v>172.6</v>
      </c>
      <c r="F150" s="678">
        <v>170.4</v>
      </c>
      <c r="G150" s="678">
        <v>138.80000000000001</v>
      </c>
      <c r="H150" s="678">
        <v>137</v>
      </c>
      <c r="I150" s="678">
        <v>138.9</v>
      </c>
      <c r="J150" s="678">
        <v>136.69999999999999</v>
      </c>
      <c r="K150" s="678">
        <v>141.30000000000001</v>
      </c>
      <c r="L150" s="678">
        <v>136.9</v>
      </c>
      <c r="M150" s="678">
        <v>136.1</v>
      </c>
      <c r="N150" s="678">
        <v>137</v>
      </c>
      <c r="Q150" s="538">
        <v>356</v>
      </c>
      <c r="R150" s="538">
        <v>364.34</v>
      </c>
      <c r="S150" s="538">
        <v>356</v>
      </c>
      <c r="T150" s="538">
        <v>359.6</v>
      </c>
      <c r="U150" s="538">
        <v>349</v>
      </c>
      <c r="V150" s="538">
        <v>356.65</v>
      </c>
    </row>
    <row r="151" spans="4:22" x14ac:dyDescent="0.3">
      <c r="D151" s="676">
        <v>28</v>
      </c>
      <c r="E151" s="678">
        <v>176.8</v>
      </c>
      <c r="F151" s="678">
        <v>171.9</v>
      </c>
      <c r="G151" s="678">
        <v>141.4</v>
      </c>
      <c r="H151" s="678">
        <v>141.1</v>
      </c>
      <c r="I151" s="678">
        <v>141.9</v>
      </c>
      <c r="J151" s="678">
        <v>141.4</v>
      </c>
      <c r="K151" s="678">
        <v>143.69999999999999</v>
      </c>
      <c r="L151" s="678">
        <v>141.4</v>
      </c>
      <c r="M151" s="678">
        <v>140.9</v>
      </c>
      <c r="N151" s="678">
        <v>141.5</v>
      </c>
      <c r="Q151" s="538">
        <v>360</v>
      </c>
      <c r="R151" s="538">
        <v>369.2</v>
      </c>
      <c r="S151" s="538">
        <v>361</v>
      </c>
      <c r="T151" s="538">
        <v>364.4</v>
      </c>
      <c r="U151" s="538">
        <v>354</v>
      </c>
      <c r="V151" s="538">
        <v>361.5</v>
      </c>
    </row>
    <row r="152" spans="4:22" x14ac:dyDescent="0.3">
      <c r="D152" s="676">
        <v>29</v>
      </c>
      <c r="E152" s="678">
        <v>177.5</v>
      </c>
      <c r="F152" s="678">
        <v>175.9</v>
      </c>
      <c r="G152" s="678">
        <v>144</v>
      </c>
      <c r="H152" s="678">
        <v>143.5</v>
      </c>
      <c r="I152" s="678">
        <v>144.4</v>
      </c>
      <c r="J152" s="678">
        <v>143.69999999999999</v>
      </c>
      <c r="K152" s="678">
        <v>145.6</v>
      </c>
      <c r="L152" s="678">
        <v>143.9</v>
      </c>
      <c r="M152" s="678">
        <v>143.19999999999999</v>
      </c>
      <c r="N152" s="678">
        <v>143.9</v>
      </c>
      <c r="Q152" s="538">
        <v>365</v>
      </c>
      <c r="R152" s="538">
        <v>374.25</v>
      </c>
      <c r="S152" s="538">
        <v>366</v>
      </c>
      <c r="T152" s="538">
        <v>369.17</v>
      </c>
      <c r="U152" s="538">
        <v>359</v>
      </c>
      <c r="V152" s="538">
        <v>366.16</v>
      </c>
    </row>
    <row r="153" spans="4:22" x14ac:dyDescent="0.3">
      <c r="D153" s="676">
        <v>30</v>
      </c>
      <c r="E153" s="678">
        <v>178.4</v>
      </c>
      <c r="F153" s="678">
        <v>176.4</v>
      </c>
      <c r="G153" s="678">
        <v>145.9</v>
      </c>
      <c r="H153" s="678">
        <v>145.30000000000001</v>
      </c>
      <c r="I153" s="678">
        <v>146.30000000000001</v>
      </c>
      <c r="J153" s="678">
        <v>145.6</v>
      </c>
      <c r="K153" s="678">
        <v>147.30000000000001</v>
      </c>
      <c r="L153" s="678">
        <v>145.80000000000001</v>
      </c>
      <c r="M153" s="678">
        <v>145.1</v>
      </c>
      <c r="N153" s="678">
        <v>145.80000000000001</v>
      </c>
      <c r="Q153" s="538">
        <v>370</v>
      </c>
      <c r="R153" s="538">
        <v>378.86</v>
      </c>
      <c r="S153" s="538">
        <v>371</v>
      </c>
      <c r="T153" s="538">
        <v>374.13</v>
      </c>
      <c r="U153" s="538">
        <v>364</v>
      </c>
      <c r="V153" s="538">
        <v>370.94</v>
      </c>
    </row>
    <row r="154" spans="4:22" x14ac:dyDescent="0.3">
      <c r="D154" s="676">
        <v>31</v>
      </c>
      <c r="E154" s="678">
        <v>181.1</v>
      </c>
      <c r="F154" s="678">
        <v>177.7</v>
      </c>
      <c r="G154" s="678">
        <v>147.9</v>
      </c>
      <c r="H154" s="678">
        <v>147</v>
      </c>
      <c r="I154" s="678">
        <v>148.1</v>
      </c>
      <c r="J154" s="678">
        <v>147.30000000000001</v>
      </c>
      <c r="K154" s="678">
        <v>152.5</v>
      </c>
      <c r="L154" s="678">
        <v>147.4</v>
      </c>
      <c r="M154" s="678">
        <v>146.9</v>
      </c>
      <c r="N154" s="678">
        <v>147.4</v>
      </c>
      <c r="Q154" s="538">
        <v>375</v>
      </c>
      <c r="R154" s="538">
        <v>383.9</v>
      </c>
      <c r="S154" s="538">
        <v>375</v>
      </c>
      <c r="T154" s="538">
        <v>378.64</v>
      </c>
      <c r="U154" s="538">
        <v>368</v>
      </c>
      <c r="V154" s="538">
        <v>375.65</v>
      </c>
    </row>
    <row r="155" spans="4:22" x14ac:dyDescent="0.3">
      <c r="D155" s="676">
        <v>32</v>
      </c>
      <c r="E155" s="678">
        <v>183.4</v>
      </c>
      <c r="F155" s="678">
        <v>180.7</v>
      </c>
      <c r="G155" s="678">
        <v>152.6</v>
      </c>
      <c r="H155" s="678">
        <v>152.30000000000001</v>
      </c>
      <c r="I155" s="678">
        <v>153.19999999999999</v>
      </c>
      <c r="J155" s="678">
        <v>152.6</v>
      </c>
      <c r="K155" s="678">
        <v>153.30000000000001</v>
      </c>
      <c r="L155" s="678">
        <v>152.69999999999999</v>
      </c>
      <c r="M155" s="678">
        <v>152.1</v>
      </c>
      <c r="N155" s="678">
        <v>152.69999999999999</v>
      </c>
      <c r="Q155" s="538">
        <v>379</v>
      </c>
      <c r="R155" s="538">
        <v>388.7</v>
      </c>
      <c r="S155" s="538">
        <v>380</v>
      </c>
      <c r="T155" s="538">
        <v>383.65</v>
      </c>
      <c r="U155" s="538">
        <v>373</v>
      </c>
      <c r="V155" s="538">
        <v>379.96</v>
      </c>
    </row>
    <row r="156" spans="4:22" x14ac:dyDescent="0.3">
      <c r="D156" s="676">
        <v>33</v>
      </c>
      <c r="E156" s="678">
        <v>185.7</v>
      </c>
      <c r="F156" s="678">
        <v>182.8</v>
      </c>
      <c r="G156" s="678">
        <v>153.1</v>
      </c>
      <c r="H156" s="678">
        <v>153</v>
      </c>
      <c r="I156" s="678">
        <v>153.9</v>
      </c>
      <c r="J156" s="678">
        <v>153.30000000000001</v>
      </c>
      <c r="K156" s="678">
        <v>153.80000000000001</v>
      </c>
      <c r="L156" s="678">
        <v>153.4</v>
      </c>
      <c r="M156" s="678">
        <v>153</v>
      </c>
      <c r="N156" s="678">
        <v>153.5</v>
      </c>
      <c r="Q156" s="538">
        <v>384</v>
      </c>
      <c r="R156" s="538">
        <v>393.42</v>
      </c>
      <c r="S156" s="538">
        <v>385</v>
      </c>
      <c r="T156" s="538">
        <v>388.38</v>
      </c>
      <c r="U156" s="538">
        <v>378</v>
      </c>
      <c r="V156" s="538">
        <v>384.79</v>
      </c>
    </row>
    <row r="157" spans="4:22" x14ac:dyDescent="0.3">
      <c r="D157" s="676">
        <v>34</v>
      </c>
      <c r="E157" s="678">
        <v>187.6</v>
      </c>
      <c r="F157" s="678">
        <v>185</v>
      </c>
      <c r="G157" s="678">
        <v>155.4</v>
      </c>
      <c r="H157" s="678">
        <v>153.69999999999999</v>
      </c>
      <c r="I157" s="678">
        <v>155.4</v>
      </c>
      <c r="J157" s="678">
        <v>153.80000000000001</v>
      </c>
      <c r="K157" s="678">
        <v>159.1</v>
      </c>
      <c r="L157" s="678">
        <v>153.9</v>
      </c>
      <c r="M157" s="678">
        <v>153.5</v>
      </c>
      <c r="N157" s="678">
        <v>154</v>
      </c>
      <c r="Q157" s="538">
        <v>388</v>
      </c>
      <c r="R157" s="538">
        <v>398.17</v>
      </c>
      <c r="S157" s="538">
        <v>389</v>
      </c>
      <c r="T157" s="538">
        <v>393.05</v>
      </c>
      <c r="U157" s="538">
        <v>382</v>
      </c>
      <c r="V157" s="538">
        <v>389.18</v>
      </c>
    </row>
    <row r="158" spans="4:22" x14ac:dyDescent="0.3">
      <c r="D158" s="676">
        <v>35</v>
      </c>
      <c r="E158" s="678">
        <v>190.7</v>
      </c>
      <c r="F158" s="678">
        <v>187.3</v>
      </c>
      <c r="G158" s="678">
        <v>160.5</v>
      </c>
      <c r="H158" s="678">
        <v>159.4</v>
      </c>
      <c r="I158" s="678">
        <v>160.19999999999999</v>
      </c>
      <c r="J158" s="678">
        <v>159.19999999999999</v>
      </c>
      <c r="K158" s="678">
        <v>162.1</v>
      </c>
      <c r="L158" s="678">
        <v>159.4</v>
      </c>
      <c r="M158" s="678">
        <v>158.6</v>
      </c>
      <c r="N158" s="678">
        <v>159.1</v>
      </c>
      <c r="Q158" s="538">
        <v>393</v>
      </c>
      <c r="R158" s="538">
        <v>402.57</v>
      </c>
      <c r="S158" s="538">
        <v>394</v>
      </c>
      <c r="T158" s="538">
        <v>397.79</v>
      </c>
      <c r="U158" s="538">
        <v>387</v>
      </c>
      <c r="V158" s="538">
        <v>393.79</v>
      </c>
    </row>
    <row r="159" spans="4:22" x14ac:dyDescent="0.3">
      <c r="D159" s="676">
        <v>36</v>
      </c>
      <c r="E159" s="678">
        <v>191.8</v>
      </c>
      <c r="F159" s="678">
        <v>189.8</v>
      </c>
      <c r="G159" s="678">
        <v>163</v>
      </c>
      <c r="H159" s="678">
        <v>162.4</v>
      </c>
      <c r="I159" s="678">
        <v>163.1</v>
      </c>
      <c r="J159" s="678">
        <v>162.30000000000001</v>
      </c>
      <c r="K159" s="678">
        <v>164.3</v>
      </c>
      <c r="L159" s="678">
        <v>162.4</v>
      </c>
      <c r="M159" s="678">
        <v>161.80000000000001</v>
      </c>
      <c r="N159" s="678">
        <v>162.30000000000001</v>
      </c>
      <c r="Q159" s="538">
        <v>397</v>
      </c>
      <c r="R159" s="538">
        <v>407.41</v>
      </c>
      <c r="S159" s="538">
        <v>399</v>
      </c>
      <c r="T159" s="538">
        <v>402.15</v>
      </c>
      <c r="U159" s="538">
        <v>391</v>
      </c>
      <c r="V159" s="538">
        <v>398.29</v>
      </c>
    </row>
    <row r="160" spans="4:22" x14ac:dyDescent="0.3">
      <c r="D160" s="676">
        <v>37</v>
      </c>
      <c r="E160" s="678">
        <v>193.4</v>
      </c>
      <c r="F160" s="678">
        <v>191</v>
      </c>
      <c r="G160" s="678">
        <v>164.7</v>
      </c>
      <c r="H160" s="678">
        <v>164.5</v>
      </c>
      <c r="I160" s="678">
        <v>165.1</v>
      </c>
      <c r="J160" s="678">
        <v>164.5</v>
      </c>
      <c r="K160" s="678">
        <v>167.5</v>
      </c>
      <c r="L160" s="678">
        <v>164.6</v>
      </c>
      <c r="M160" s="678">
        <v>164.3</v>
      </c>
      <c r="N160" s="678">
        <v>164.6</v>
      </c>
      <c r="Q160" s="538">
        <v>402</v>
      </c>
      <c r="R160" s="538">
        <v>411.91</v>
      </c>
      <c r="S160" s="538">
        <v>403</v>
      </c>
      <c r="T160" s="538">
        <v>406.93</v>
      </c>
      <c r="U160" s="538">
        <v>396</v>
      </c>
      <c r="V160" s="538">
        <v>402.54</v>
      </c>
    </row>
    <row r="161" spans="4:22" x14ac:dyDescent="0.3">
      <c r="D161" s="676">
        <v>38</v>
      </c>
      <c r="E161" s="678">
        <v>197</v>
      </c>
      <c r="F161" s="678">
        <v>193.6</v>
      </c>
      <c r="G161" s="678">
        <v>167.9</v>
      </c>
      <c r="H161" s="678">
        <v>167.8</v>
      </c>
      <c r="I161" s="678">
        <v>168.3</v>
      </c>
      <c r="J161" s="678">
        <v>167.6</v>
      </c>
      <c r="K161" s="678">
        <v>168.3</v>
      </c>
      <c r="L161" s="678">
        <v>167.8</v>
      </c>
      <c r="M161" s="678">
        <v>167.4</v>
      </c>
      <c r="N161" s="678">
        <v>167.8</v>
      </c>
      <c r="Q161" s="538">
        <v>407</v>
      </c>
      <c r="R161" s="538">
        <v>416.63</v>
      </c>
      <c r="S161" s="538">
        <v>408</v>
      </c>
      <c r="T161" s="538">
        <v>411.43</v>
      </c>
      <c r="U161" s="538">
        <v>400</v>
      </c>
      <c r="V161" s="538">
        <v>407.13</v>
      </c>
    </row>
    <row r="162" spans="4:22" x14ac:dyDescent="0.3">
      <c r="D162" s="676">
        <v>39</v>
      </c>
      <c r="E162" s="678">
        <v>199.1</v>
      </c>
      <c r="F162" s="678">
        <v>196.6</v>
      </c>
      <c r="G162" s="678">
        <v>168.8</v>
      </c>
      <c r="H162" s="678">
        <v>168.6</v>
      </c>
      <c r="I162" s="678">
        <v>169.1</v>
      </c>
      <c r="J162" s="678">
        <v>168.4</v>
      </c>
      <c r="K162" s="678">
        <v>170.8</v>
      </c>
      <c r="L162" s="678">
        <v>168.5</v>
      </c>
      <c r="M162" s="678">
        <v>168.4</v>
      </c>
      <c r="N162" s="678">
        <v>168.6</v>
      </c>
      <c r="Q162" s="538">
        <v>411</v>
      </c>
      <c r="R162" s="538">
        <v>421.22</v>
      </c>
      <c r="S162" s="538">
        <v>412</v>
      </c>
      <c r="T162" s="538">
        <v>416.14</v>
      </c>
      <c r="U162" s="538">
        <v>405</v>
      </c>
      <c r="V162" s="538">
        <v>411.43</v>
      </c>
    </row>
    <row r="163" spans="4:22" x14ac:dyDescent="0.3">
      <c r="D163" s="676">
        <v>40</v>
      </c>
      <c r="E163" s="678">
        <v>199.6</v>
      </c>
      <c r="F163" s="678">
        <v>198.1</v>
      </c>
      <c r="G163" s="678">
        <v>171.7</v>
      </c>
      <c r="H163" s="678">
        <v>171.5</v>
      </c>
      <c r="I163" s="678">
        <v>171.9</v>
      </c>
      <c r="J163" s="678">
        <v>170.9</v>
      </c>
      <c r="K163" s="678">
        <v>172.9</v>
      </c>
      <c r="L163" s="678">
        <v>171</v>
      </c>
      <c r="M163" s="678">
        <v>170.2</v>
      </c>
      <c r="N163" s="678">
        <v>170.6</v>
      </c>
      <c r="Q163" s="538">
        <v>416</v>
      </c>
      <c r="R163" s="538">
        <v>425.72</v>
      </c>
      <c r="S163" s="538">
        <v>417</v>
      </c>
      <c r="T163" s="538">
        <v>420.71</v>
      </c>
      <c r="U163" s="538">
        <v>409</v>
      </c>
      <c r="V163" s="538">
        <v>415.96</v>
      </c>
    </row>
    <row r="164" spans="4:22" x14ac:dyDescent="0.3">
      <c r="D164" s="676">
        <v>41</v>
      </c>
      <c r="E164" s="678">
        <v>201.7</v>
      </c>
      <c r="F164" s="678">
        <v>198.6</v>
      </c>
      <c r="G164" s="678">
        <v>175.9</v>
      </c>
      <c r="H164" s="678">
        <v>174.3</v>
      </c>
      <c r="I164" s="678">
        <v>175</v>
      </c>
      <c r="J164" s="678">
        <v>173</v>
      </c>
      <c r="K164" s="678">
        <v>176.4</v>
      </c>
      <c r="L164" s="678">
        <v>173.1</v>
      </c>
      <c r="M164" s="678">
        <v>172.4</v>
      </c>
      <c r="N164" s="678">
        <v>172.8</v>
      </c>
      <c r="Q164" s="538">
        <v>420</v>
      </c>
      <c r="R164" s="538">
        <v>430.37</v>
      </c>
      <c r="S164" s="538">
        <v>421</v>
      </c>
      <c r="T164" s="538">
        <v>425.46</v>
      </c>
      <c r="U164" s="538">
        <v>414</v>
      </c>
      <c r="V164" s="538">
        <v>420.34</v>
      </c>
    </row>
    <row r="165" spans="4:22" x14ac:dyDescent="0.3">
      <c r="D165" s="676">
        <v>42</v>
      </c>
      <c r="E165" s="678">
        <v>204.5</v>
      </c>
      <c r="F165" s="678">
        <v>201.6</v>
      </c>
      <c r="G165" s="678">
        <v>177.1</v>
      </c>
      <c r="H165" s="678">
        <v>177</v>
      </c>
      <c r="I165" s="678">
        <v>177.3</v>
      </c>
      <c r="J165" s="678">
        <v>176.5</v>
      </c>
      <c r="K165" s="678">
        <v>177</v>
      </c>
      <c r="L165" s="678">
        <v>176.6</v>
      </c>
      <c r="M165" s="678">
        <v>176.6</v>
      </c>
      <c r="N165" s="678">
        <v>176.8</v>
      </c>
      <c r="Q165" s="538">
        <v>424</v>
      </c>
      <c r="R165" s="538">
        <v>435.22</v>
      </c>
      <c r="S165" s="538">
        <v>426</v>
      </c>
      <c r="T165" s="538">
        <v>430.11</v>
      </c>
      <c r="U165" s="538">
        <v>418</v>
      </c>
      <c r="V165" s="538">
        <v>424.92</v>
      </c>
    </row>
    <row r="166" spans="4:22" x14ac:dyDescent="0.3">
      <c r="D166" s="676">
        <v>43</v>
      </c>
      <c r="E166" s="678">
        <v>205.9</v>
      </c>
      <c r="F166" s="678">
        <v>203.9</v>
      </c>
      <c r="G166" s="678">
        <v>178.3</v>
      </c>
      <c r="H166" s="678">
        <v>177.6</v>
      </c>
      <c r="I166" s="678">
        <v>177.9</v>
      </c>
      <c r="J166" s="678">
        <v>177.1</v>
      </c>
      <c r="K166" s="678">
        <v>179.5</v>
      </c>
      <c r="L166" s="678">
        <v>177.2</v>
      </c>
      <c r="M166" s="678">
        <v>177.2</v>
      </c>
      <c r="N166" s="678">
        <v>177.5</v>
      </c>
      <c r="Q166" s="538">
        <v>429</v>
      </c>
      <c r="R166" s="538">
        <v>439.82</v>
      </c>
      <c r="S166" s="538">
        <v>430</v>
      </c>
      <c r="T166" s="538">
        <v>434.98</v>
      </c>
      <c r="U166" s="538">
        <v>422</v>
      </c>
      <c r="V166" s="538">
        <v>429.33</v>
      </c>
    </row>
    <row r="167" spans="4:22" x14ac:dyDescent="0.3">
      <c r="D167" s="676">
        <v>44</v>
      </c>
      <c r="E167" s="678">
        <v>207.6</v>
      </c>
      <c r="F167" s="678">
        <v>205.4</v>
      </c>
      <c r="G167" s="678">
        <v>181.8</v>
      </c>
      <c r="H167" s="678">
        <v>180.6</v>
      </c>
      <c r="I167" s="678">
        <v>180.8</v>
      </c>
      <c r="J167" s="678">
        <v>179.7</v>
      </c>
      <c r="K167" s="678">
        <v>182.3</v>
      </c>
      <c r="L167" s="678">
        <v>179.7</v>
      </c>
      <c r="M167" s="678">
        <v>179.1</v>
      </c>
      <c r="N167" s="678">
        <v>179.5</v>
      </c>
      <c r="Q167" s="538">
        <v>433</v>
      </c>
      <c r="R167" s="538">
        <v>444.6</v>
      </c>
      <c r="S167" s="538">
        <v>435</v>
      </c>
      <c r="T167" s="538">
        <v>439.59</v>
      </c>
      <c r="U167" s="538">
        <v>427</v>
      </c>
      <c r="V167" s="538">
        <v>433.95</v>
      </c>
    </row>
    <row r="168" spans="4:22" x14ac:dyDescent="0.3">
      <c r="D168" s="676">
        <v>45</v>
      </c>
      <c r="E168" s="678">
        <v>209.8</v>
      </c>
      <c r="F168" s="678">
        <v>207.3</v>
      </c>
      <c r="G168" s="678">
        <v>184.6</v>
      </c>
      <c r="H168" s="678">
        <v>183.6</v>
      </c>
      <c r="I168" s="678">
        <v>183.6</v>
      </c>
      <c r="J168" s="678">
        <v>182.5</v>
      </c>
      <c r="K168" s="678">
        <v>185</v>
      </c>
      <c r="L168" s="678">
        <v>182.6</v>
      </c>
      <c r="M168" s="678">
        <v>182.3</v>
      </c>
      <c r="N168" s="678">
        <v>182.5</v>
      </c>
      <c r="Q168" s="538">
        <v>438</v>
      </c>
      <c r="R168" s="538">
        <v>449.15</v>
      </c>
      <c r="S168" s="538">
        <v>440</v>
      </c>
      <c r="T168" s="538">
        <v>444.42</v>
      </c>
      <c r="U168" s="538">
        <v>431</v>
      </c>
      <c r="V168" s="538">
        <v>438.38</v>
      </c>
    </row>
    <row r="169" spans="4:22" x14ac:dyDescent="0.3">
      <c r="D169" s="676">
        <v>46</v>
      </c>
      <c r="E169" s="678">
        <v>211.9</v>
      </c>
      <c r="F169" s="678">
        <v>209.4</v>
      </c>
      <c r="G169" s="678">
        <v>186.9</v>
      </c>
      <c r="H169" s="678">
        <v>186.2</v>
      </c>
      <c r="I169" s="678">
        <v>186.2</v>
      </c>
      <c r="J169" s="678">
        <v>185.3</v>
      </c>
      <c r="K169" s="678">
        <v>187.6</v>
      </c>
      <c r="L169" s="678">
        <v>185.3</v>
      </c>
      <c r="M169" s="678">
        <v>185.1</v>
      </c>
      <c r="N169" s="678">
        <v>185.3</v>
      </c>
      <c r="Q169" s="538">
        <v>442</v>
      </c>
      <c r="R169" s="538">
        <v>453.98</v>
      </c>
      <c r="S169" s="538">
        <v>444</v>
      </c>
      <c r="T169" s="538">
        <v>449.03</v>
      </c>
      <c r="U169" s="538">
        <v>436</v>
      </c>
      <c r="V169" s="538">
        <v>443.01</v>
      </c>
    </row>
    <row r="170" spans="4:22" x14ac:dyDescent="0.3">
      <c r="D170" s="676">
        <v>47</v>
      </c>
      <c r="E170" s="678">
        <v>214.2</v>
      </c>
      <c r="F170" s="678">
        <v>211.7</v>
      </c>
      <c r="G170" s="678">
        <v>190.4</v>
      </c>
      <c r="H170" s="678">
        <v>189.1</v>
      </c>
      <c r="I170" s="678">
        <v>189</v>
      </c>
      <c r="J170" s="678">
        <v>188</v>
      </c>
      <c r="K170" s="678">
        <v>190.2</v>
      </c>
      <c r="L170" s="678">
        <v>188</v>
      </c>
      <c r="M170" s="678">
        <v>187.6</v>
      </c>
      <c r="N170" s="678">
        <v>187.9</v>
      </c>
      <c r="Q170" s="538">
        <v>446</v>
      </c>
      <c r="R170" s="538">
        <v>458.68</v>
      </c>
      <c r="S170" s="538">
        <v>449</v>
      </c>
      <c r="T170" s="538">
        <v>453.93</v>
      </c>
      <c r="U170" s="538">
        <v>440</v>
      </c>
      <c r="V170" s="538">
        <v>447.45</v>
      </c>
    </row>
    <row r="171" spans="4:22" x14ac:dyDescent="0.3">
      <c r="D171" s="676">
        <v>48</v>
      </c>
      <c r="E171" s="678">
        <v>216.5</v>
      </c>
      <c r="F171" s="678">
        <v>214</v>
      </c>
      <c r="G171" s="678">
        <v>191.9</v>
      </c>
      <c r="H171" s="678">
        <v>191.4</v>
      </c>
      <c r="I171" s="678">
        <v>191.3</v>
      </c>
      <c r="J171" s="678">
        <v>190.5</v>
      </c>
      <c r="K171" s="678">
        <v>191.7</v>
      </c>
      <c r="L171" s="678">
        <v>190.6</v>
      </c>
      <c r="M171" s="678">
        <v>190.6</v>
      </c>
      <c r="N171" s="678">
        <v>190.8</v>
      </c>
      <c r="Q171" s="538">
        <v>451</v>
      </c>
      <c r="R171" s="538">
        <v>463.34</v>
      </c>
      <c r="S171" s="538">
        <v>453</v>
      </c>
      <c r="T171" s="538">
        <v>458.7</v>
      </c>
      <c r="U171" s="538">
        <v>445</v>
      </c>
      <c r="V171" s="538">
        <v>452.07</v>
      </c>
    </row>
    <row r="172" spans="4:22" x14ac:dyDescent="0.3">
      <c r="D172" s="676">
        <v>49</v>
      </c>
      <c r="E172" s="678">
        <v>218.7</v>
      </c>
      <c r="F172" s="678">
        <v>216.6</v>
      </c>
      <c r="G172" s="678">
        <v>194.8</v>
      </c>
      <c r="H172" s="678">
        <v>193.1</v>
      </c>
      <c r="I172" s="678">
        <v>192.9</v>
      </c>
      <c r="J172" s="678">
        <v>192.1</v>
      </c>
      <c r="K172" s="678">
        <v>195.7</v>
      </c>
      <c r="L172" s="678">
        <v>192.1</v>
      </c>
      <c r="M172" s="678">
        <v>192</v>
      </c>
      <c r="N172" s="678">
        <v>192.2</v>
      </c>
      <c r="Q172" s="538">
        <v>455</v>
      </c>
      <c r="R172" s="538">
        <v>468.03</v>
      </c>
      <c r="S172" s="538">
        <v>458</v>
      </c>
      <c r="T172" s="538">
        <v>463.4</v>
      </c>
      <c r="U172" s="538">
        <v>449</v>
      </c>
      <c r="V172" s="538">
        <v>456.67</v>
      </c>
    </row>
    <row r="173" spans="4:22" x14ac:dyDescent="0.3">
      <c r="D173" s="676">
        <v>50</v>
      </c>
      <c r="E173" s="678">
        <v>219.3</v>
      </c>
      <c r="F173" s="678">
        <v>217.8</v>
      </c>
      <c r="G173" s="678">
        <v>198.6</v>
      </c>
      <c r="H173" s="678">
        <v>197.3</v>
      </c>
      <c r="I173" s="678">
        <v>197</v>
      </c>
      <c r="J173" s="678">
        <v>196.2</v>
      </c>
      <c r="K173" s="678">
        <v>198.1</v>
      </c>
      <c r="L173" s="678">
        <v>196.1</v>
      </c>
      <c r="M173" s="678">
        <v>195.9</v>
      </c>
      <c r="N173" s="678">
        <v>196</v>
      </c>
      <c r="Q173" s="538">
        <v>460</v>
      </c>
      <c r="R173" s="538">
        <v>472.52</v>
      </c>
      <c r="S173" s="538">
        <v>463</v>
      </c>
      <c r="T173" s="538">
        <v>468.21</v>
      </c>
      <c r="U173" s="538">
        <v>453</v>
      </c>
      <c r="V173" s="538">
        <v>461.24</v>
      </c>
    </row>
    <row r="174" spans="4:22" x14ac:dyDescent="0.3">
      <c r="D174" s="676">
        <v>51</v>
      </c>
      <c r="E174" s="678">
        <v>221.6</v>
      </c>
      <c r="F174" s="678">
        <v>219</v>
      </c>
      <c r="G174" s="678">
        <v>199.7</v>
      </c>
      <c r="H174" s="678">
        <v>199.2</v>
      </c>
      <c r="I174" s="678">
        <v>199</v>
      </c>
      <c r="J174" s="678">
        <v>198.3</v>
      </c>
      <c r="K174" s="678">
        <v>198.7</v>
      </c>
      <c r="L174" s="678">
        <v>198.3</v>
      </c>
      <c r="M174" s="678">
        <v>198.5</v>
      </c>
      <c r="N174" s="678">
        <v>198.6</v>
      </c>
      <c r="Q174" s="538">
        <v>464</v>
      </c>
      <c r="R174" s="538">
        <v>477.15</v>
      </c>
      <c r="S174" s="538">
        <v>467</v>
      </c>
      <c r="T174" s="538">
        <v>472.76</v>
      </c>
      <c r="U174" s="538">
        <v>458</v>
      </c>
      <c r="V174" s="538">
        <v>465.85</v>
      </c>
    </row>
    <row r="175" spans="4:22" x14ac:dyDescent="0.3">
      <c r="D175" s="676">
        <v>52</v>
      </c>
      <c r="E175" s="678">
        <v>223.9</v>
      </c>
      <c r="F175" s="678">
        <v>221.1</v>
      </c>
      <c r="G175" s="678">
        <v>201.1</v>
      </c>
      <c r="H175" s="678">
        <v>199.9</v>
      </c>
      <c r="I175" s="678">
        <v>199.6</v>
      </c>
      <c r="J175" s="678">
        <v>198.9</v>
      </c>
      <c r="K175" s="678">
        <v>202.1</v>
      </c>
      <c r="L175" s="678">
        <v>198.9</v>
      </c>
      <c r="M175" s="678">
        <v>199.1</v>
      </c>
      <c r="N175" s="678">
        <v>199.3</v>
      </c>
      <c r="Q175" s="538">
        <v>469</v>
      </c>
      <c r="R175" s="538">
        <v>481.73</v>
      </c>
      <c r="S175" s="538">
        <v>472</v>
      </c>
      <c r="T175" s="538">
        <v>477.51</v>
      </c>
      <c r="U175" s="538">
        <v>462</v>
      </c>
      <c r="V175" s="538">
        <v>470.41</v>
      </c>
    </row>
    <row r="176" spans="4:22" x14ac:dyDescent="0.3">
      <c r="D176" s="676">
        <v>53</v>
      </c>
      <c r="E176" s="678">
        <v>226.6</v>
      </c>
      <c r="F176" s="678">
        <v>223.9</v>
      </c>
      <c r="G176" s="678">
        <v>205</v>
      </c>
      <c r="H176" s="678">
        <v>203.8</v>
      </c>
      <c r="I176" s="678">
        <v>203.4</v>
      </c>
      <c r="J176" s="678">
        <v>202.5</v>
      </c>
      <c r="K176" s="678">
        <v>204.3</v>
      </c>
      <c r="L176" s="678">
        <v>202.4</v>
      </c>
      <c r="M176" s="678">
        <v>202.2</v>
      </c>
      <c r="N176" s="678">
        <v>202.3</v>
      </c>
      <c r="Q176" s="538">
        <v>473</v>
      </c>
      <c r="R176" s="538">
        <v>486.34</v>
      </c>
      <c r="S176" s="538">
        <v>477</v>
      </c>
      <c r="T176" s="538">
        <v>482.18</v>
      </c>
      <c r="U176" s="538">
        <v>467</v>
      </c>
      <c r="V176" s="538">
        <v>474.81</v>
      </c>
    </row>
    <row r="177" spans="4:22" x14ac:dyDescent="0.3">
      <c r="D177" s="676">
        <v>54</v>
      </c>
      <c r="E177" s="678">
        <v>228.7</v>
      </c>
      <c r="F177" s="678">
        <v>226.3</v>
      </c>
      <c r="G177" s="678">
        <v>206.8</v>
      </c>
      <c r="H177" s="678">
        <v>205.8</v>
      </c>
      <c r="I177" s="678">
        <v>205.5</v>
      </c>
      <c r="J177" s="678">
        <v>204.7</v>
      </c>
      <c r="K177" s="678">
        <v>206.3</v>
      </c>
      <c r="L177" s="678">
        <v>204.6</v>
      </c>
      <c r="M177" s="678">
        <v>204.7</v>
      </c>
      <c r="N177" s="678">
        <v>204.8</v>
      </c>
      <c r="Q177" s="538">
        <v>478</v>
      </c>
      <c r="R177" s="538">
        <v>490.97</v>
      </c>
      <c r="S177" s="538">
        <v>481</v>
      </c>
      <c r="T177" s="538">
        <v>486.88</v>
      </c>
      <c r="U177" s="538">
        <v>471</v>
      </c>
      <c r="V177" s="538">
        <v>479.36</v>
      </c>
    </row>
    <row r="178" spans="4:22" x14ac:dyDescent="0.3">
      <c r="D178" s="676">
        <v>55</v>
      </c>
      <c r="E178" s="678">
        <v>230.7</v>
      </c>
      <c r="F178" s="678">
        <v>228.6</v>
      </c>
      <c r="G178" s="678">
        <v>209.2</v>
      </c>
      <c r="H178" s="678">
        <v>208.1</v>
      </c>
      <c r="I178" s="678">
        <v>207.7</v>
      </c>
      <c r="J178" s="678">
        <v>206.8</v>
      </c>
      <c r="K178" s="678">
        <v>208.9</v>
      </c>
      <c r="L178" s="678">
        <v>206.6</v>
      </c>
      <c r="M178" s="678">
        <v>206.7</v>
      </c>
      <c r="N178" s="678">
        <v>206.8</v>
      </c>
      <c r="Q178" s="538">
        <v>482</v>
      </c>
      <c r="R178" s="538">
        <v>495.52</v>
      </c>
      <c r="S178" s="538">
        <v>486</v>
      </c>
      <c r="T178" s="538">
        <v>491.66</v>
      </c>
      <c r="U178" s="538">
        <v>476</v>
      </c>
      <c r="V178" s="538">
        <v>483.82</v>
      </c>
    </row>
    <row r="179" spans="4:22" x14ac:dyDescent="0.3">
      <c r="D179" s="676">
        <v>56</v>
      </c>
      <c r="E179" s="678">
        <v>232.5</v>
      </c>
      <c r="F179" s="678">
        <v>230.6</v>
      </c>
      <c r="G179" s="678">
        <v>211.7</v>
      </c>
      <c r="H179" s="678">
        <v>210.7</v>
      </c>
      <c r="I179" s="678">
        <v>210.3</v>
      </c>
      <c r="J179" s="678">
        <v>209.4</v>
      </c>
      <c r="K179" s="678">
        <v>211.5</v>
      </c>
      <c r="L179" s="678">
        <v>209.3</v>
      </c>
      <c r="M179" s="678">
        <v>209.2</v>
      </c>
      <c r="N179" s="678">
        <v>209.3</v>
      </c>
      <c r="Q179" s="538">
        <v>487</v>
      </c>
      <c r="R179" s="538">
        <v>500.01</v>
      </c>
      <c r="S179" s="538">
        <v>491</v>
      </c>
      <c r="T179" s="538">
        <v>496.35</v>
      </c>
      <c r="U179" s="538">
        <v>481</v>
      </c>
      <c r="V179" s="538">
        <v>488.45</v>
      </c>
    </row>
    <row r="180" spans="4:22" x14ac:dyDescent="0.3">
      <c r="D180" s="676">
        <v>57</v>
      </c>
      <c r="E180" s="678">
        <v>235.5</v>
      </c>
      <c r="F180" s="678">
        <v>232.6</v>
      </c>
      <c r="G180" s="678">
        <v>214.5</v>
      </c>
      <c r="H180" s="678">
        <v>213.3</v>
      </c>
      <c r="I180" s="678">
        <v>212.8</v>
      </c>
      <c r="J180" s="678">
        <v>212.1</v>
      </c>
      <c r="K180" s="678">
        <v>214.2</v>
      </c>
      <c r="L180" s="678">
        <v>211.9</v>
      </c>
      <c r="M180" s="678">
        <v>211.7</v>
      </c>
      <c r="N180" s="678">
        <v>211.8</v>
      </c>
      <c r="Q180" s="538">
        <v>491</v>
      </c>
      <c r="R180" s="538">
        <v>504.41</v>
      </c>
      <c r="S180" s="538">
        <v>496</v>
      </c>
      <c r="T180" s="538">
        <v>500.92</v>
      </c>
      <c r="U180" s="538">
        <v>485</v>
      </c>
      <c r="V180" s="538">
        <v>493.06</v>
      </c>
    </row>
    <row r="181" spans="4:22" x14ac:dyDescent="0.3">
      <c r="D181" s="676">
        <v>58</v>
      </c>
      <c r="E181" s="678">
        <v>237.6</v>
      </c>
      <c r="F181" s="678">
        <v>236</v>
      </c>
      <c r="G181" s="678">
        <v>217.6</v>
      </c>
      <c r="H181" s="678">
        <v>216.2</v>
      </c>
      <c r="I181" s="678">
        <v>215.7</v>
      </c>
      <c r="J181" s="678">
        <v>214.9</v>
      </c>
      <c r="K181" s="678">
        <v>217.2</v>
      </c>
      <c r="L181" s="678">
        <v>214.7</v>
      </c>
      <c r="M181" s="678">
        <v>214.6</v>
      </c>
      <c r="N181" s="678">
        <v>214.6</v>
      </c>
      <c r="Q181" s="538">
        <v>496</v>
      </c>
      <c r="R181" s="538">
        <v>508.8</v>
      </c>
      <c r="S181" s="538">
        <v>500</v>
      </c>
      <c r="T181" s="538">
        <v>505.5</v>
      </c>
      <c r="U181" s="538">
        <v>490</v>
      </c>
      <c r="V181" s="538">
        <v>497.59</v>
      </c>
    </row>
    <row r="182" spans="4:22" x14ac:dyDescent="0.3">
      <c r="D182" s="676">
        <v>59</v>
      </c>
      <c r="E182" s="678">
        <v>238.4</v>
      </c>
      <c r="F182" s="678">
        <v>236.8</v>
      </c>
      <c r="G182" s="678">
        <v>219.3</v>
      </c>
      <c r="H182" s="678">
        <v>218.6</v>
      </c>
      <c r="I182" s="678">
        <v>218.3</v>
      </c>
      <c r="J182" s="678">
        <v>217.7</v>
      </c>
      <c r="K182" s="678">
        <v>218.1</v>
      </c>
      <c r="L182" s="678">
        <v>217.6</v>
      </c>
      <c r="M182" s="678">
        <v>217.7</v>
      </c>
      <c r="N182" s="678">
        <v>217.7</v>
      </c>
      <c r="Q182" s="538">
        <v>500</v>
      </c>
      <c r="R182" s="538">
        <v>513.23</v>
      </c>
      <c r="S182" s="538">
        <v>505</v>
      </c>
      <c r="T182" s="538">
        <v>510.06</v>
      </c>
      <c r="U182" s="538">
        <v>495</v>
      </c>
      <c r="V182" s="538">
        <v>501.99</v>
      </c>
    </row>
    <row r="183" spans="4:22" x14ac:dyDescent="0.3">
      <c r="D183" s="676">
        <v>60</v>
      </c>
      <c r="E183" s="678">
        <v>241</v>
      </c>
      <c r="F183" s="678">
        <v>238.4</v>
      </c>
      <c r="G183" s="678">
        <v>221.4</v>
      </c>
      <c r="H183" s="678">
        <v>219.8</v>
      </c>
      <c r="I183" s="678">
        <v>219.3</v>
      </c>
      <c r="J183" s="678">
        <v>218.5</v>
      </c>
      <c r="K183" s="678">
        <v>220.6</v>
      </c>
      <c r="L183" s="678">
        <v>218.4</v>
      </c>
      <c r="M183" s="678">
        <v>218.7</v>
      </c>
      <c r="N183" s="678">
        <v>218.8</v>
      </c>
      <c r="Q183" s="538">
        <v>504</v>
      </c>
      <c r="R183" s="538">
        <v>517.64</v>
      </c>
      <c r="S183" s="538">
        <v>509</v>
      </c>
      <c r="T183" s="538">
        <v>514.64</v>
      </c>
      <c r="U183" s="538">
        <v>499</v>
      </c>
      <c r="V183" s="538">
        <v>506.44</v>
      </c>
    </row>
    <row r="184" spans="4:22" x14ac:dyDescent="0.3">
      <c r="D184" s="676">
        <v>61</v>
      </c>
      <c r="E184" s="678">
        <v>244.2</v>
      </c>
      <c r="F184" s="678">
        <v>241.4</v>
      </c>
      <c r="G184" s="678">
        <v>223.9</v>
      </c>
      <c r="H184" s="678">
        <v>222.7</v>
      </c>
      <c r="I184" s="678">
        <v>222.2</v>
      </c>
      <c r="J184" s="678">
        <v>221.2</v>
      </c>
      <c r="K184" s="678">
        <v>223.6</v>
      </c>
      <c r="L184" s="678">
        <v>221</v>
      </c>
      <c r="M184" s="678">
        <v>221.1</v>
      </c>
      <c r="N184" s="678">
        <v>221.2</v>
      </c>
      <c r="Q184" s="538">
        <v>509</v>
      </c>
      <c r="R184" s="538">
        <v>522.02</v>
      </c>
      <c r="S184" s="538">
        <v>514</v>
      </c>
      <c r="T184" s="538">
        <v>519.26</v>
      </c>
      <c r="U184" s="538">
        <v>503</v>
      </c>
      <c r="V184" s="538">
        <v>510.89</v>
      </c>
    </row>
    <row r="185" spans="4:22" x14ac:dyDescent="0.3">
      <c r="D185" s="676">
        <v>62</v>
      </c>
      <c r="E185" s="678">
        <v>247.2</v>
      </c>
      <c r="F185" s="678">
        <v>244.6</v>
      </c>
      <c r="G185" s="678">
        <v>227.3</v>
      </c>
      <c r="H185" s="678">
        <v>225.9</v>
      </c>
      <c r="I185" s="678">
        <v>225.4</v>
      </c>
      <c r="J185" s="678">
        <v>224.5</v>
      </c>
      <c r="K185" s="678">
        <v>226.5</v>
      </c>
      <c r="L185" s="678">
        <v>224.1</v>
      </c>
      <c r="M185" s="678">
        <v>223.9</v>
      </c>
      <c r="N185" s="678">
        <v>224</v>
      </c>
      <c r="Q185" s="538">
        <v>513</v>
      </c>
      <c r="R185" s="538">
        <v>526.29</v>
      </c>
      <c r="S185" s="538">
        <v>519</v>
      </c>
      <c r="T185" s="538">
        <v>523.82000000000005</v>
      </c>
      <c r="U185" s="538">
        <v>508</v>
      </c>
      <c r="V185" s="538">
        <v>515.32000000000005</v>
      </c>
    </row>
    <row r="186" spans="4:22" x14ac:dyDescent="0.3">
      <c r="D186" s="676">
        <v>63</v>
      </c>
      <c r="E186" s="678">
        <v>249.6</v>
      </c>
      <c r="F186" s="678">
        <v>247.3</v>
      </c>
      <c r="G186" s="678">
        <v>229.8</v>
      </c>
      <c r="H186" s="678">
        <v>228.8</v>
      </c>
      <c r="I186" s="678">
        <v>228.3</v>
      </c>
      <c r="J186" s="678">
        <v>227.6</v>
      </c>
      <c r="K186" s="678">
        <v>229.3</v>
      </c>
      <c r="L186" s="678">
        <v>227.1</v>
      </c>
      <c r="M186" s="678">
        <v>227</v>
      </c>
      <c r="N186" s="678">
        <v>227.1</v>
      </c>
      <c r="Q186" s="538">
        <v>518</v>
      </c>
      <c r="R186" s="538">
        <v>530.55999999999995</v>
      </c>
      <c r="S186" s="538">
        <v>524</v>
      </c>
      <c r="T186" s="538">
        <v>528.27</v>
      </c>
      <c r="U186" s="538">
        <v>512</v>
      </c>
      <c r="V186" s="538">
        <v>519.79</v>
      </c>
    </row>
    <row r="187" spans="4:22" x14ac:dyDescent="0.3">
      <c r="D187" s="676">
        <v>64</v>
      </c>
      <c r="E187" s="678">
        <v>252.1</v>
      </c>
      <c r="F187" s="678">
        <v>250</v>
      </c>
      <c r="G187" s="678">
        <v>232.2</v>
      </c>
      <c r="H187" s="678">
        <v>231.2</v>
      </c>
      <c r="I187" s="678">
        <v>230.8</v>
      </c>
      <c r="J187" s="678">
        <v>230</v>
      </c>
      <c r="K187" s="678">
        <v>231.4</v>
      </c>
      <c r="L187" s="678">
        <v>229.7</v>
      </c>
      <c r="M187" s="678">
        <v>229.8</v>
      </c>
      <c r="N187" s="678">
        <v>229.8</v>
      </c>
      <c r="Q187" s="538">
        <v>522</v>
      </c>
      <c r="R187" s="538">
        <v>534.79</v>
      </c>
      <c r="S187" s="538">
        <v>528</v>
      </c>
      <c r="T187" s="538">
        <v>532.73</v>
      </c>
      <c r="U187" s="538">
        <v>517</v>
      </c>
      <c r="V187" s="538">
        <v>524.22</v>
      </c>
    </row>
    <row r="188" spans="4:22" x14ac:dyDescent="0.3">
      <c r="D188" s="676">
        <v>65</v>
      </c>
      <c r="E188" s="678">
        <v>255.3</v>
      </c>
      <c r="F188" s="678">
        <v>253</v>
      </c>
      <c r="G188" s="678">
        <v>235.1</v>
      </c>
      <c r="H188" s="678">
        <v>233.7</v>
      </c>
      <c r="I188" s="678">
        <v>233.2</v>
      </c>
      <c r="J188" s="678">
        <v>232.4</v>
      </c>
      <c r="K188" s="678">
        <v>235.1</v>
      </c>
      <c r="L188" s="678">
        <v>232</v>
      </c>
      <c r="M188" s="678">
        <v>232</v>
      </c>
      <c r="N188" s="678">
        <v>232</v>
      </c>
      <c r="Q188" s="538">
        <v>526</v>
      </c>
      <c r="R188" s="538">
        <v>539.03</v>
      </c>
      <c r="S188" s="538">
        <v>533</v>
      </c>
      <c r="T188" s="538">
        <v>537.22</v>
      </c>
      <c r="U188" s="538">
        <v>522</v>
      </c>
      <c r="V188" s="538">
        <v>528.55999999999995</v>
      </c>
    </row>
    <row r="189" spans="4:22" x14ac:dyDescent="0.3">
      <c r="D189" s="676">
        <v>66</v>
      </c>
      <c r="E189" s="678">
        <v>256.60000000000002</v>
      </c>
      <c r="F189" s="678">
        <v>255.3</v>
      </c>
      <c r="G189" s="678">
        <v>238</v>
      </c>
      <c r="H189" s="678">
        <v>237.2</v>
      </c>
      <c r="I189" s="678">
        <v>236.9</v>
      </c>
      <c r="J189" s="678">
        <v>236.3</v>
      </c>
      <c r="K189" s="678">
        <v>236.8</v>
      </c>
      <c r="L189" s="678">
        <v>236</v>
      </c>
      <c r="M189" s="678">
        <v>235.6</v>
      </c>
      <c r="N189" s="678">
        <v>235.6</v>
      </c>
      <c r="Q189" s="538">
        <v>531</v>
      </c>
      <c r="R189" s="538">
        <v>543.24</v>
      </c>
      <c r="S189" s="538">
        <v>537</v>
      </c>
      <c r="T189" s="538">
        <v>541.70000000000005</v>
      </c>
      <c r="U189" s="538">
        <v>526</v>
      </c>
      <c r="V189" s="538">
        <v>532.89</v>
      </c>
    </row>
    <row r="190" spans="4:22" x14ac:dyDescent="0.3">
      <c r="D190" s="676">
        <v>67</v>
      </c>
      <c r="E190" s="678">
        <v>258.5</v>
      </c>
      <c r="F190" s="678">
        <v>256.39999999999998</v>
      </c>
      <c r="G190" s="678">
        <v>239.3</v>
      </c>
      <c r="H190" s="678">
        <v>238.1</v>
      </c>
      <c r="I190" s="678">
        <v>237.8</v>
      </c>
      <c r="J190" s="678">
        <v>237.2</v>
      </c>
      <c r="K190" s="678">
        <v>238.7</v>
      </c>
      <c r="L190" s="678">
        <v>237.1</v>
      </c>
      <c r="M190" s="678">
        <v>237.4</v>
      </c>
      <c r="N190" s="678">
        <v>237.5</v>
      </c>
      <c r="Q190" s="538">
        <v>535</v>
      </c>
      <c r="R190" s="538">
        <v>547.48</v>
      </c>
      <c r="S190" s="538">
        <v>542</v>
      </c>
      <c r="T190" s="538">
        <v>546.17999999999995</v>
      </c>
      <c r="U190" s="538">
        <v>531</v>
      </c>
      <c r="V190" s="538">
        <v>537.25</v>
      </c>
    </row>
    <row r="191" spans="4:22" x14ac:dyDescent="0.3">
      <c r="D191" s="676">
        <v>68</v>
      </c>
      <c r="E191" s="678">
        <v>261.7</v>
      </c>
      <c r="F191" s="678">
        <v>259.5</v>
      </c>
      <c r="G191" s="678">
        <v>242.8</v>
      </c>
      <c r="H191" s="678">
        <v>241.5</v>
      </c>
      <c r="I191" s="678">
        <v>241</v>
      </c>
      <c r="J191" s="678">
        <v>240.3</v>
      </c>
      <c r="K191" s="678">
        <v>242.5</v>
      </c>
      <c r="L191" s="678">
        <v>239.6</v>
      </c>
      <c r="M191" s="678">
        <v>239.4</v>
      </c>
      <c r="N191" s="678">
        <v>239.4</v>
      </c>
      <c r="Q191" s="538">
        <v>539</v>
      </c>
      <c r="R191" s="538">
        <v>551.72</v>
      </c>
      <c r="S191" s="538">
        <v>546</v>
      </c>
      <c r="T191" s="538">
        <v>550.70000000000005</v>
      </c>
      <c r="U191" s="538">
        <v>535</v>
      </c>
      <c r="V191" s="538">
        <v>541.62</v>
      </c>
    </row>
    <row r="192" spans="4:22" x14ac:dyDescent="0.3">
      <c r="D192" s="676">
        <v>69</v>
      </c>
      <c r="E192" s="678">
        <v>265.10000000000002</v>
      </c>
      <c r="F192" s="678">
        <v>263.10000000000002</v>
      </c>
      <c r="G192" s="678">
        <v>246.8</v>
      </c>
      <c r="H192" s="678">
        <v>245.3</v>
      </c>
      <c r="I192" s="678">
        <v>244.8</v>
      </c>
      <c r="J192" s="678">
        <v>244.1</v>
      </c>
      <c r="K192" s="678">
        <v>246.3</v>
      </c>
      <c r="L192" s="678">
        <v>243.6</v>
      </c>
      <c r="M192" s="678">
        <v>243.2</v>
      </c>
      <c r="N192" s="678">
        <v>243.2</v>
      </c>
      <c r="Q192" s="538">
        <v>543</v>
      </c>
      <c r="R192" s="538">
        <v>555.95000000000005</v>
      </c>
      <c r="S192" s="538">
        <v>551</v>
      </c>
      <c r="T192" s="538">
        <v>555.23</v>
      </c>
      <c r="U192" s="538">
        <v>539</v>
      </c>
      <c r="V192" s="538">
        <v>545.98</v>
      </c>
    </row>
    <row r="193" spans="4:22" x14ac:dyDescent="0.3">
      <c r="D193" s="676">
        <v>70</v>
      </c>
      <c r="E193" s="678">
        <v>267.2</v>
      </c>
      <c r="F193" s="678">
        <v>265.60000000000002</v>
      </c>
      <c r="G193" s="678">
        <v>249.8</v>
      </c>
      <c r="H193" s="678">
        <v>248.7</v>
      </c>
      <c r="I193" s="678">
        <v>248.3</v>
      </c>
      <c r="J193" s="678">
        <v>247.6</v>
      </c>
      <c r="K193" s="678">
        <v>249.3</v>
      </c>
      <c r="L193" s="678">
        <v>247.1</v>
      </c>
      <c r="M193" s="678">
        <v>247.1</v>
      </c>
      <c r="N193" s="678">
        <v>247.1</v>
      </c>
      <c r="Q193" s="538">
        <v>547</v>
      </c>
      <c r="R193" s="538">
        <v>559.91999999999996</v>
      </c>
      <c r="S193" s="538">
        <v>556</v>
      </c>
      <c r="T193" s="538">
        <v>559.54</v>
      </c>
      <c r="U193" s="538">
        <v>544</v>
      </c>
      <c r="V193" s="538">
        <v>550.36</v>
      </c>
    </row>
    <row r="194" spans="4:22" x14ac:dyDescent="0.3">
      <c r="D194" s="676">
        <v>71</v>
      </c>
      <c r="E194" s="678">
        <v>270.3</v>
      </c>
      <c r="F194" s="678">
        <v>268.2</v>
      </c>
      <c r="G194" s="678">
        <v>253</v>
      </c>
      <c r="H194" s="678">
        <v>251.9</v>
      </c>
      <c r="I194" s="678">
        <v>251.5</v>
      </c>
      <c r="J194" s="678">
        <v>250.8</v>
      </c>
      <c r="K194" s="678">
        <v>252.8</v>
      </c>
      <c r="L194" s="678">
        <v>250.2</v>
      </c>
      <c r="M194" s="678">
        <v>250.1</v>
      </c>
      <c r="N194" s="678">
        <v>250.1</v>
      </c>
      <c r="Q194" s="538">
        <v>552</v>
      </c>
      <c r="R194" s="538">
        <v>563.94000000000005</v>
      </c>
      <c r="S194" s="538">
        <v>560</v>
      </c>
      <c r="T194" s="538">
        <v>563.86</v>
      </c>
      <c r="U194" s="538">
        <v>548</v>
      </c>
      <c r="V194" s="538">
        <v>554.78</v>
      </c>
    </row>
    <row r="195" spans="4:22" x14ac:dyDescent="0.3">
      <c r="D195" s="676">
        <v>72</v>
      </c>
      <c r="E195" s="678">
        <v>273</v>
      </c>
      <c r="F195" s="678">
        <v>271.7</v>
      </c>
      <c r="G195" s="678">
        <v>256.3</v>
      </c>
      <c r="H195" s="678">
        <v>255.5</v>
      </c>
      <c r="I195" s="678">
        <v>255.2</v>
      </c>
      <c r="J195" s="678">
        <v>254.6</v>
      </c>
      <c r="K195" s="678">
        <v>255.4</v>
      </c>
      <c r="L195" s="678">
        <v>254.1</v>
      </c>
      <c r="M195" s="678">
        <v>253.8</v>
      </c>
      <c r="N195" s="678">
        <v>253.7</v>
      </c>
      <c r="Q195" s="538">
        <v>556</v>
      </c>
      <c r="R195" s="538">
        <v>568.01</v>
      </c>
      <c r="S195" s="538">
        <v>565</v>
      </c>
      <c r="T195" s="538">
        <v>568.25</v>
      </c>
      <c r="U195" s="538">
        <v>553</v>
      </c>
      <c r="V195" s="538">
        <v>558.99</v>
      </c>
    </row>
    <row r="196" spans="4:22" x14ac:dyDescent="0.3">
      <c r="D196" s="676">
        <v>73</v>
      </c>
      <c r="E196" s="678">
        <v>274.89999999999998</v>
      </c>
      <c r="F196" s="678">
        <v>273.10000000000002</v>
      </c>
      <c r="G196" s="678">
        <v>257.8</v>
      </c>
      <c r="H196" s="678">
        <v>256.7</v>
      </c>
      <c r="I196" s="678">
        <v>256.5</v>
      </c>
      <c r="J196" s="678">
        <v>256</v>
      </c>
      <c r="K196" s="678">
        <v>257.3</v>
      </c>
      <c r="L196" s="678">
        <v>255.8</v>
      </c>
      <c r="M196" s="678">
        <v>256</v>
      </c>
      <c r="N196" s="678">
        <v>256.10000000000002</v>
      </c>
      <c r="Q196" s="538">
        <v>560</v>
      </c>
      <c r="R196" s="538">
        <v>572.16</v>
      </c>
      <c r="S196" s="538">
        <v>569</v>
      </c>
      <c r="T196" s="538">
        <v>572.75</v>
      </c>
      <c r="U196" s="538">
        <v>557</v>
      </c>
      <c r="V196" s="538">
        <v>563.20000000000005</v>
      </c>
    </row>
    <row r="197" spans="4:22" x14ac:dyDescent="0.3">
      <c r="D197" s="679">
        <v>74</v>
      </c>
      <c r="E197" s="678">
        <v>278.7</v>
      </c>
      <c r="F197" s="678">
        <v>276.8</v>
      </c>
      <c r="G197" s="678">
        <v>261.7</v>
      </c>
      <c r="H197" s="678">
        <v>260.5</v>
      </c>
      <c r="I197" s="678">
        <v>260.10000000000002</v>
      </c>
      <c r="J197" s="678">
        <v>259.39999999999998</v>
      </c>
      <c r="K197" s="678">
        <v>261.39999999999998</v>
      </c>
      <c r="L197" s="678">
        <v>258.5</v>
      </c>
      <c r="M197" s="678">
        <v>258.2</v>
      </c>
      <c r="N197" s="678">
        <v>258.2</v>
      </c>
      <c r="Q197" s="538">
        <v>564</v>
      </c>
      <c r="R197" s="538">
        <v>576.42999999999995</v>
      </c>
      <c r="S197" s="538">
        <v>574</v>
      </c>
      <c r="T197" s="538">
        <v>577.42999999999995</v>
      </c>
      <c r="U197" s="538">
        <v>562</v>
      </c>
      <c r="V197" s="538">
        <v>567.47</v>
      </c>
    </row>
    <row r="198" spans="4:22" x14ac:dyDescent="0.3">
      <c r="D198" s="676">
        <v>75</v>
      </c>
      <c r="E198" s="678">
        <v>282</v>
      </c>
      <c r="F198" s="678">
        <v>280.39999999999998</v>
      </c>
      <c r="G198" s="678">
        <v>265.60000000000002</v>
      </c>
      <c r="H198" s="678">
        <v>264.60000000000002</v>
      </c>
      <c r="I198" s="678">
        <v>264.3</v>
      </c>
      <c r="J198" s="678">
        <v>263.7</v>
      </c>
      <c r="K198" s="678">
        <v>265.10000000000002</v>
      </c>
      <c r="L198" s="678">
        <v>263</v>
      </c>
      <c r="M198" s="678">
        <v>262.60000000000002</v>
      </c>
      <c r="N198" s="678">
        <v>262.5</v>
      </c>
      <c r="Q198" s="538">
        <v>568</v>
      </c>
      <c r="R198" s="538">
        <v>580.87</v>
      </c>
      <c r="S198" s="538">
        <v>578</v>
      </c>
      <c r="T198" s="538">
        <v>582.30999999999995</v>
      </c>
      <c r="U198" s="538">
        <v>566</v>
      </c>
      <c r="V198" s="538">
        <v>571.82000000000005</v>
      </c>
    </row>
    <row r="199" spans="4:22" x14ac:dyDescent="0.3">
      <c r="D199" s="676">
        <v>76</v>
      </c>
      <c r="E199" s="678">
        <v>284.89999999999998</v>
      </c>
      <c r="F199" s="678">
        <v>283.3</v>
      </c>
      <c r="G199" s="678">
        <v>268.39999999999998</v>
      </c>
      <c r="H199" s="678">
        <v>267.3</v>
      </c>
      <c r="I199" s="678">
        <v>267</v>
      </c>
      <c r="J199" s="678">
        <v>266.5</v>
      </c>
      <c r="K199" s="678">
        <v>268.10000000000002</v>
      </c>
      <c r="L199" s="678">
        <v>266.10000000000002</v>
      </c>
      <c r="M199" s="678">
        <v>266</v>
      </c>
      <c r="N199" s="678">
        <v>266</v>
      </c>
      <c r="Q199" s="538">
        <v>572</v>
      </c>
      <c r="R199" s="538">
        <v>585.37</v>
      </c>
      <c r="S199" s="538">
        <v>583</v>
      </c>
      <c r="T199" s="538">
        <v>587.16</v>
      </c>
      <c r="U199" s="538">
        <v>571</v>
      </c>
      <c r="V199" s="538">
        <v>576.33000000000004</v>
      </c>
    </row>
    <row r="200" spans="4:22" x14ac:dyDescent="0.3">
      <c r="D200" s="676">
        <v>77</v>
      </c>
      <c r="E200" s="678">
        <v>288.39999999999998</v>
      </c>
      <c r="F200" s="678">
        <v>287.10000000000002</v>
      </c>
      <c r="G200" s="678">
        <v>272.60000000000002</v>
      </c>
      <c r="H200" s="678">
        <v>271.60000000000002</v>
      </c>
      <c r="I200" s="678">
        <v>271.3</v>
      </c>
      <c r="J200" s="678">
        <v>270.60000000000002</v>
      </c>
      <c r="K200" s="678">
        <v>272.10000000000002</v>
      </c>
      <c r="L200" s="678">
        <v>269.8</v>
      </c>
      <c r="M200" s="678">
        <v>269.39999999999998</v>
      </c>
      <c r="N200" s="678">
        <v>269.39999999999998</v>
      </c>
      <c r="Q200" s="538">
        <v>576</v>
      </c>
      <c r="R200" s="538">
        <v>589.85</v>
      </c>
      <c r="S200" s="538">
        <v>588</v>
      </c>
      <c r="T200" s="538">
        <v>592.15</v>
      </c>
      <c r="U200" s="538">
        <v>575</v>
      </c>
      <c r="V200" s="538">
        <v>581.04</v>
      </c>
    </row>
    <row r="201" spans="4:22" x14ac:dyDescent="0.3">
      <c r="D201" s="676">
        <v>78</v>
      </c>
      <c r="E201" s="678">
        <v>290.5</v>
      </c>
      <c r="F201" s="678">
        <v>288.89999999999998</v>
      </c>
      <c r="G201" s="678">
        <v>274.60000000000002</v>
      </c>
      <c r="H201" s="678">
        <v>273.5</v>
      </c>
      <c r="I201" s="678">
        <v>273.39999999999998</v>
      </c>
      <c r="J201" s="678">
        <v>272.89999999999998</v>
      </c>
      <c r="K201" s="678">
        <v>274.2</v>
      </c>
      <c r="L201" s="678">
        <v>272.7</v>
      </c>
      <c r="M201" s="678">
        <v>272.8</v>
      </c>
      <c r="N201" s="678">
        <v>272.8</v>
      </c>
      <c r="Q201" s="538">
        <v>581</v>
      </c>
      <c r="R201" s="538">
        <v>594.52</v>
      </c>
      <c r="S201" s="538">
        <v>593</v>
      </c>
      <c r="T201" s="538">
        <v>597.35</v>
      </c>
      <c r="U201" s="538">
        <v>580</v>
      </c>
      <c r="V201" s="538">
        <v>585.79</v>
      </c>
    </row>
    <row r="202" spans="4:22" x14ac:dyDescent="0.3">
      <c r="D202" s="676">
        <v>79</v>
      </c>
      <c r="E202" s="678">
        <v>295.10000000000002</v>
      </c>
      <c r="F202" s="678">
        <v>293.2</v>
      </c>
      <c r="G202" s="678">
        <v>279.39999999999998</v>
      </c>
      <c r="H202" s="678">
        <v>278</v>
      </c>
      <c r="I202" s="678">
        <v>277.8</v>
      </c>
      <c r="J202" s="678">
        <v>277.2</v>
      </c>
      <c r="K202" s="678">
        <v>279</v>
      </c>
      <c r="L202" s="678">
        <v>276.3</v>
      </c>
      <c r="M202" s="678">
        <v>275.7</v>
      </c>
      <c r="N202" s="678">
        <v>275.60000000000002</v>
      </c>
      <c r="Q202" s="538">
        <v>585</v>
      </c>
      <c r="R202" s="538">
        <v>599.4</v>
      </c>
      <c r="S202" s="538">
        <v>598</v>
      </c>
      <c r="T202" s="538">
        <v>602.91</v>
      </c>
      <c r="U202" s="538">
        <v>584</v>
      </c>
      <c r="V202" s="538">
        <v>590.59</v>
      </c>
    </row>
    <row r="203" spans="4:22" x14ac:dyDescent="0.3">
      <c r="D203" s="676">
        <v>80</v>
      </c>
      <c r="E203" s="678">
        <v>298.3</v>
      </c>
      <c r="F203" s="678">
        <v>296.89999999999998</v>
      </c>
      <c r="G203" s="678">
        <v>283.2</v>
      </c>
      <c r="H203" s="678">
        <v>282.2</v>
      </c>
      <c r="I203" s="678">
        <v>282</v>
      </c>
      <c r="J203" s="678">
        <v>281.39999999999998</v>
      </c>
      <c r="K203" s="678">
        <v>282.7</v>
      </c>
      <c r="L203" s="678">
        <v>280.8</v>
      </c>
      <c r="M203" s="678">
        <v>280.39999999999998</v>
      </c>
      <c r="N203" s="678">
        <v>280.39999999999998</v>
      </c>
      <c r="Q203" s="538">
        <v>590</v>
      </c>
      <c r="R203" s="538">
        <v>604.59</v>
      </c>
      <c r="S203" s="538">
        <v>604</v>
      </c>
      <c r="T203" s="538">
        <v>608.82000000000005</v>
      </c>
      <c r="U203" s="538">
        <v>589</v>
      </c>
      <c r="V203" s="538">
        <v>595.58000000000004</v>
      </c>
    </row>
    <row r="204" spans="4:22" x14ac:dyDescent="0.3">
      <c r="D204" s="676">
        <v>81</v>
      </c>
      <c r="E204" s="678">
        <v>302.3</v>
      </c>
      <c r="F204" s="678">
        <v>300.8</v>
      </c>
      <c r="G204" s="678">
        <v>287.5</v>
      </c>
      <c r="H204" s="678">
        <v>286.2</v>
      </c>
      <c r="I204" s="678">
        <v>286</v>
      </c>
      <c r="J204" s="678">
        <v>285.39999999999998</v>
      </c>
      <c r="K204" s="678">
        <v>287.10000000000002</v>
      </c>
      <c r="L204" s="678">
        <v>284.5</v>
      </c>
      <c r="M204" s="678">
        <v>284.10000000000002</v>
      </c>
      <c r="N204" s="678">
        <v>284.10000000000002</v>
      </c>
      <c r="Q204" s="538">
        <v>594</v>
      </c>
      <c r="R204" s="538">
        <v>610.08000000000004</v>
      </c>
      <c r="S204" s="538">
        <v>610</v>
      </c>
      <c r="T204" s="538">
        <v>615.03</v>
      </c>
      <c r="U204" s="538">
        <v>594</v>
      </c>
      <c r="V204" s="538">
        <v>600.83000000000004</v>
      </c>
    </row>
    <row r="205" spans="4:22" x14ac:dyDescent="0.3">
      <c r="D205" s="676">
        <v>82</v>
      </c>
      <c r="E205" s="678">
        <v>304.60000000000002</v>
      </c>
      <c r="F205" s="678">
        <v>303.60000000000002</v>
      </c>
      <c r="G205" s="678">
        <v>290</v>
      </c>
      <c r="H205" s="678">
        <v>289</v>
      </c>
      <c r="I205" s="678">
        <v>289.10000000000002</v>
      </c>
      <c r="J205" s="678">
        <v>288.60000000000002</v>
      </c>
      <c r="K205" s="678">
        <v>289.5</v>
      </c>
      <c r="L205" s="678">
        <v>288.5</v>
      </c>
      <c r="M205" s="678">
        <v>288.39999999999998</v>
      </c>
      <c r="N205" s="678">
        <v>288.39999999999998</v>
      </c>
      <c r="Q205" s="538">
        <v>599</v>
      </c>
      <c r="R205" s="538">
        <v>615.77</v>
      </c>
      <c r="S205" s="538">
        <v>616</v>
      </c>
      <c r="T205" s="538">
        <v>621.47</v>
      </c>
      <c r="U205" s="538">
        <v>599</v>
      </c>
      <c r="V205" s="538">
        <v>606.48</v>
      </c>
    </row>
    <row r="206" spans="4:22" x14ac:dyDescent="0.3">
      <c r="D206" s="676">
        <v>83</v>
      </c>
      <c r="E206" s="678">
        <v>309</v>
      </c>
      <c r="F206" s="678">
        <v>307.5</v>
      </c>
      <c r="G206" s="678">
        <v>295.5</v>
      </c>
      <c r="H206" s="678">
        <v>294.10000000000002</v>
      </c>
      <c r="I206" s="678">
        <v>294</v>
      </c>
      <c r="J206" s="678">
        <v>293.39999999999998</v>
      </c>
      <c r="K206" s="678">
        <v>295</v>
      </c>
      <c r="L206" s="678">
        <v>292.39999999999998</v>
      </c>
      <c r="M206" s="678">
        <v>291.7</v>
      </c>
      <c r="N206" s="678">
        <v>291.7</v>
      </c>
      <c r="Q206" s="538">
        <v>604</v>
      </c>
      <c r="R206" s="538">
        <v>621.67999999999995</v>
      </c>
      <c r="S206" s="538">
        <v>623</v>
      </c>
      <c r="T206" s="538">
        <v>628.36</v>
      </c>
      <c r="U206" s="538">
        <v>605</v>
      </c>
      <c r="V206" s="538">
        <v>612.41</v>
      </c>
    </row>
    <row r="207" spans="4:22" x14ac:dyDescent="0.3">
      <c r="D207" s="676">
        <v>84</v>
      </c>
      <c r="E207" s="678">
        <v>312.8</v>
      </c>
      <c r="F207" s="678">
        <v>311.60000000000002</v>
      </c>
      <c r="G207" s="678">
        <v>299.5</v>
      </c>
      <c r="H207" s="678">
        <v>298.39999999999998</v>
      </c>
      <c r="I207" s="678">
        <v>298.39999999999998</v>
      </c>
      <c r="J207" s="678">
        <v>297.8</v>
      </c>
      <c r="K207" s="678">
        <v>298.89999999999998</v>
      </c>
      <c r="L207" s="678">
        <v>297.2</v>
      </c>
      <c r="M207" s="678">
        <v>296.7</v>
      </c>
      <c r="N207" s="678">
        <v>296.7</v>
      </c>
      <c r="Q207" s="538">
        <v>609</v>
      </c>
      <c r="R207" s="538">
        <v>627.92999999999995</v>
      </c>
      <c r="S207" s="538">
        <v>630</v>
      </c>
      <c r="T207" s="538">
        <v>635.72</v>
      </c>
      <c r="U207" s="538">
        <v>611</v>
      </c>
      <c r="V207" s="538">
        <v>618.54999999999995</v>
      </c>
    </row>
    <row r="208" spans="4:22" x14ac:dyDescent="0.3">
      <c r="D208" s="676">
        <v>85</v>
      </c>
      <c r="E208" s="678">
        <v>317.2</v>
      </c>
      <c r="F208" s="678">
        <v>316.2</v>
      </c>
      <c r="G208" s="678">
        <v>303.8</v>
      </c>
      <c r="H208" s="678">
        <v>303.10000000000002</v>
      </c>
      <c r="I208" s="678">
        <v>303.2</v>
      </c>
      <c r="J208" s="678">
        <v>302.7</v>
      </c>
      <c r="K208" s="678">
        <v>303.3</v>
      </c>
      <c r="L208" s="678">
        <v>302.10000000000002</v>
      </c>
      <c r="M208" s="678">
        <v>301.5</v>
      </c>
      <c r="N208" s="678">
        <v>301.5</v>
      </c>
      <c r="Q208" s="538">
        <v>614</v>
      </c>
      <c r="R208" s="538">
        <v>634.57000000000005</v>
      </c>
      <c r="S208" s="538">
        <v>637</v>
      </c>
      <c r="T208" s="538">
        <v>643.51</v>
      </c>
      <c r="U208" s="538">
        <v>617</v>
      </c>
      <c r="V208" s="538">
        <v>625</v>
      </c>
    </row>
    <row r="209" spans="4:22" x14ac:dyDescent="0.3">
      <c r="D209" s="676">
        <v>86</v>
      </c>
      <c r="E209" s="678">
        <v>320.89999999999998</v>
      </c>
      <c r="F209" s="678">
        <v>319.39999999999998</v>
      </c>
      <c r="G209" s="678">
        <v>308</v>
      </c>
      <c r="H209" s="678">
        <v>306.60000000000002</v>
      </c>
      <c r="I209" s="678">
        <v>306.60000000000002</v>
      </c>
      <c r="J209" s="678">
        <v>306</v>
      </c>
      <c r="K209" s="678">
        <v>307.39999999999998</v>
      </c>
      <c r="L209" s="678">
        <v>305.2</v>
      </c>
      <c r="M209" s="678">
        <v>304.7</v>
      </c>
      <c r="N209" s="678">
        <v>304.7</v>
      </c>
      <c r="Q209" s="538">
        <v>620</v>
      </c>
      <c r="R209" s="538">
        <v>641.54</v>
      </c>
      <c r="S209" s="538">
        <v>646</v>
      </c>
      <c r="T209" s="538">
        <v>652.11</v>
      </c>
      <c r="U209" s="538">
        <v>624</v>
      </c>
      <c r="V209" s="538">
        <v>631.9</v>
      </c>
    </row>
    <row r="210" spans="4:22" x14ac:dyDescent="0.3">
      <c r="D210" s="676">
        <v>87</v>
      </c>
      <c r="E210" s="678">
        <v>325.89999999999998</v>
      </c>
      <c r="F210" s="678">
        <v>324.8</v>
      </c>
      <c r="G210" s="678">
        <v>312.89999999999998</v>
      </c>
      <c r="H210" s="678">
        <v>311.89999999999998</v>
      </c>
      <c r="I210" s="678">
        <v>311.89999999999998</v>
      </c>
      <c r="J210" s="678">
        <v>311.39999999999998</v>
      </c>
      <c r="K210" s="678">
        <v>312.3</v>
      </c>
      <c r="L210" s="678">
        <v>310.7</v>
      </c>
      <c r="M210" s="678">
        <v>310.2</v>
      </c>
      <c r="N210" s="678">
        <v>310.2</v>
      </c>
      <c r="Q210" s="538">
        <v>626</v>
      </c>
      <c r="R210" s="538">
        <v>649.09</v>
      </c>
      <c r="S210" s="538">
        <v>655</v>
      </c>
      <c r="T210" s="538">
        <v>661.56</v>
      </c>
      <c r="U210" s="538">
        <v>630</v>
      </c>
      <c r="V210" s="538">
        <v>639.17999999999995</v>
      </c>
    </row>
    <row r="211" spans="4:22" x14ac:dyDescent="0.3">
      <c r="D211" s="676">
        <v>88</v>
      </c>
      <c r="E211" s="678">
        <v>331.1</v>
      </c>
      <c r="F211" s="678">
        <v>330.1</v>
      </c>
      <c r="G211" s="678">
        <v>317.8</v>
      </c>
      <c r="H211" s="678">
        <v>317.10000000000002</v>
      </c>
      <c r="I211" s="678">
        <v>317.3</v>
      </c>
      <c r="J211" s="678">
        <v>316.89999999999998</v>
      </c>
      <c r="K211" s="678">
        <v>317.39999999999998</v>
      </c>
      <c r="L211" s="678">
        <v>316.3</v>
      </c>
      <c r="M211" s="678">
        <v>315.60000000000002</v>
      </c>
      <c r="N211" s="678">
        <v>315.7</v>
      </c>
      <c r="Q211" s="538">
        <v>633</v>
      </c>
      <c r="R211" s="538">
        <v>657.37</v>
      </c>
      <c r="S211" s="538">
        <v>666</v>
      </c>
      <c r="T211" s="538">
        <v>672.22</v>
      </c>
      <c r="U211" s="538">
        <v>637</v>
      </c>
      <c r="V211" s="538">
        <v>646.99</v>
      </c>
    </row>
    <row r="212" spans="4:22" x14ac:dyDescent="0.3">
      <c r="D212" s="676">
        <v>89</v>
      </c>
      <c r="E212" s="678">
        <v>336</v>
      </c>
      <c r="F212" s="678">
        <v>334.7</v>
      </c>
      <c r="G212" s="678">
        <v>323.5</v>
      </c>
      <c r="H212" s="678">
        <v>322.3</v>
      </c>
      <c r="I212" s="678">
        <v>322.39999999999998</v>
      </c>
      <c r="J212" s="678">
        <v>321.8</v>
      </c>
      <c r="K212" s="678">
        <v>322.8</v>
      </c>
      <c r="L212" s="678">
        <v>320.89999999999998</v>
      </c>
      <c r="M212" s="678">
        <v>320</v>
      </c>
      <c r="N212" s="678">
        <v>320.10000000000002</v>
      </c>
      <c r="Q212" s="538">
        <v>639</v>
      </c>
      <c r="R212" s="538">
        <v>666.4</v>
      </c>
      <c r="S212" s="538">
        <v>679</v>
      </c>
      <c r="T212" s="538">
        <v>684.42</v>
      </c>
      <c r="U212" s="538">
        <v>645</v>
      </c>
      <c r="V212" s="538">
        <v>655.66</v>
      </c>
    </row>
    <row r="213" spans="4:22" x14ac:dyDescent="0.3">
      <c r="D213" s="676">
        <v>90</v>
      </c>
      <c r="E213" s="678">
        <v>342.1</v>
      </c>
      <c r="F213" s="678">
        <v>340.9</v>
      </c>
      <c r="G213" s="678">
        <v>329.8</v>
      </c>
      <c r="H213" s="678">
        <v>328.4</v>
      </c>
      <c r="I213" s="678">
        <v>328.6</v>
      </c>
      <c r="J213" s="678">
        <v>327.9</v>
      </c>
      <c r="K213" s="678">
        <v>328.9</v>
      </c>
      <c r="L213" s="678">
        <v>327.10000000000002</v>
      </c>
      <c r="M213" s="678">
        <v>326.39999999999998</v>
      </c>
      <c r="N213" s="678">
        <v>326.5</v>
      </c>
      <c r="Q213" s="538">
        <v>647</v>
      </c>
      <c r="R213" s="538">
        <v>676.07</v>
      </c>
      <c r="S213" s="538">
        <v>696</v>
      </c>
      <c r="T213" s="538">
        <v>697.29</v>
      </c>
      <c r="U213" s="538">
        <v>654</v>
      </c>
      <c r="V213" s="538">
        <v>665.07</v>
      </c>
    </row>
    <row r="214" spans="4:22" x14ac:dyDescent="0.3">
      <c r="D214" s="676">
        <v>91</v>
      </c>
      <c r="E214" s="678">
        <v>347.4</v>
      </c>
      <c r="F214" s="678">
        <v>346.3</v>
      </c>
      <c r="G214" s="678">
        <v>335.7</v>
      </c>
      <c r="H214" s="678">
        <v>334.1</v>
      </c>
      <c r="I214" s="678">
        <v>334.4</v>
      </c>
      <c r="J214" s="678">
        <v>333.7</v>
      </c>
      <c r="K214" s="678">
        <v>334.6</v>
      </c>
      <c r="L214" s="678">
        <v>332.8</v>
      </c>
      <c r="M214" s="678">
        <v>332.1</v>
      </c>
      <c r="N214" s="678">
        <v>332.3</v>
      </c>
      <c r="Q214" s="538">
        <v>654</v>
      </c>
      <c r="R214" s="538">
        <v>686.95</v>
      </c>
      <c r="T214" s="538">
        <v>710.49</v>
      </c>
      <c r="U214" s="538">
        <v>663</v>
      </c>
      <c r="V214" s="538">
        <v>675.78</v>
      </c>
    </row>
    <row r="215" spans="4:22" x14ac:dyDescent="0.3">
      <c r="D215" s="676">
        <v>92</v>
      </c>
      <c r="E215" s="678">
        <v>354.1</v>
      </c>
      <c r="F215" s="678">
        <v>353.2</v>
      </c>
      <c r="G215" s="678">
        <v>343.3</v>
      </c>
      <c r="H215" s="678">
        <v>341.8</v>
      </c>
      <c r="I215" s="678">
        <v>342.1</v>
      </c>
      <c r="J215" s="678">
        <v>341.5</v>
      </c>
      <c r="K215" s="678">
        <v>342.2</v>
      </c>
      <c r="L215" s="678">
        <v>340.6</v>
      </c>
      <c r="M215" s="678">
        <v>339.9</v>
      </c>
      <c r="N215" s="678">
        <v>340.1</v>
      </c>
      <c r="Q215" s="538">
        <v>663</v>
      </c>
      <c r="R215" s="538">
        <v>697.83</v>
      </c>
      <c r="U215" s="538">
        <v>674</v>
      </c>
      <c r="V215" s="538">
        <v>687.91</v>
      </c>
    </row>
    <row r="216" spans="4:22" x14ac:dyDescent="0.3">
      <c r="D216" s="676">
        <v>93</v>
      </c>
      <c r="E216" s="678">
        <v>360.9</v>
      </c>
      <c r="F216" s="678">
        <v>359.9</v>
      </c>
      <c r="G216" s="678">
        <v>350.3</v>
      </c>
      <c r="H216" s="678">
        <v>348.8</v>
      </c>
      <c r="I216" s="678">
        <v>349.2</v>
      </c>
      <c r="J216" s="678">
        <v>348.5</v>
      </c>
      <c r="K216" s="678">
        <v>349.1</v>
      </c>
      <c r="L216" s="678">
        <v>347.5</v>
      </c>
      <c r="M216" s="678">
        <v>346.7</v>
      </c>
      <c r="N216" s="678">
        <v>347</v>
      </c>
      <c r="Q216" s="538">
        <v>673</v>
      </c>
      <c r="R216" s="538">
        <v>708.49</v>
      </c>
      <c r="U216" s="538">
        <v>687</v>
      </c>
      <c r="V216" s="538">
        <v>700.22</v>
      </c>
    </row>
    <row r="217" spans="4:22" x14ac:dyDescent="0.3">
      <c r="D217" s="676">
        <v>94</v>
      </c>
      <c r="E217" s="678">
        <v>369</v>
      </c>
      <c r="F217" s="678">
        <v>368.1</v>
      </c>
      <c r="G217" s="678">
        <v>358.2</v>
      </c>
      <c r="H217" s="678">
        <v>357.2</v>
      </c>
      <c r="I217" s="678">
        <v>357.6</v>
      </c>
      <c r="J217" s="678">
        <v>357.1</v>
      </c>
      <c r="K217" s="678">
        <v>357.4</v>
      </c>
      <c r="L217" s="678">
        <v>356.2</v>
      </c>
      <c r="M217" s="678">
        <v>355.4</v>
      </c>
      <c r="N217" s="678">
        <v>355.7</v>
      </c>
      <c r="Q217" s="538">
        <v>685</v>
      </c>
      <c r="R217" s="538">
        <v>720.1</v>
      </c>
      <c r="U217" s="538">
        <v>700</v>
      </c>
      <c r="V217" s="538">
        <v>713.04</v>
      </c>
    </row>
    <row r="218" spans="4:22" x14ac:dyDescent="0.3">
      <c r="D218" s="676">
        <v>95</v>
      </c>
      <c r="E218" s="678">
        <v>377.7</v>
      </c>
      <c r="F218" s="678">
        <v>376.8</v>
      </c>
      <c r="G218" s="678">
        <v>367.9</v>
      </c>
      <c r="H218" s="678">
        <v>366.3</v>
      </c>
      <c r="I218" s="678">
        <v>366.9</v>
      </c>
      <c r="J218" s="678">
        <v>366.2</v>
      </c>
      <c r="K218" s="678">
        <v>366.5</v>
      </c>
      <c r="L218" s="678">
        <v>365.2</v>
      </c>
      <c r="M218" s="678">
        <v>364.4</v>
      </c>
      <c r="N218" s="678">
        <v>364.8</v>
      </c>
      <c r="Q218" s="538">
        <v>697</v>
      </c>
      <c r="R218" s="538">
        <v>722.84</v>
      </c>
      <c r="U218" s="538">
        <v>715</v>
      </c>
    </row>
    <row r="219" spans="4:22" x14ac:dyDescent="0.3">
      <c r="D219" s="676">
        <v>96</v>
      </c>
      <c r="E219" s="678">
        <v>388</v>
      </c>
      <c r="F219" s="678">
        <v>387.1</v>
      </c>
      <c r="G219" s="678">
        <v>378.6</v>
      </c>
      <c r="H219" s="678">
        <v>376.8</v>
      </c>
      <c r="I219" s="678">
        <v>377.5</v>
      </c>
      <c r="J219" s="678">
        <v>376.7</v>
      </c>
      <c r="K219" s="678">
        <v>376.9</v>
      </c>
      <c r="L219" s="678">
        <v>375.6</v>
      </c>
      <c r="M219" s="678">
        <v>374.7</v>
      </c>
      <c r="N219" s="678">
        <v>375.3</v>
      </c>
      <c r="Q219" s="538">
        <v>710</v>
      </c>
    </row>
    <row r="220" spans="4:22" x14ac:dyDescent="0.3">
      <c r="D220" s="676">
        <v>97</v>
      </c>
      <c r="E220" s="678">
        <v>400.6</v>
      </c>
      <c r="F220" s="678">
        <v>399.8</v>
      </c>
      <c r="G220" s="678">
        <v>391.7</v>
      </c>
      <c r="H220" s="678">
        <v>389.7</v>
      </c>
      <c r="I220" s="678">
        <v>390.6</v>
      </c>
      <c r="J220" s="678">
        <v>389.7</v>
      </c>
      <c r="K220" s="678">
        <v>389.7</v>
      </c>
      <c r="L220" s="678">
        <v>388.5</v>
      </c>
      <c r="M220" s="678">
        <v>387.6</v>
      </c>
      <c r="N220" s="678">
        <v>388.3</v>
      </c>
    </row>
    <row r="221" spans="4:22" x14ac:dyDescent="0.3">
      <c r="D221" s="676">
        <v>98</v>
      </c>
      <c r="E221" s="678">
        <v>416.6</v>
      </c>
      <c r="F221" s="678">
        <v>415.9</v>
      </c>
      <c r="G221" s="678">
        <v>408.6</v>
      </c>
      <c r="H221" s="678">
        <v>406.1</v>
      </c>
      <c r="I221" s="678">
        <v>407.2</v>
      </c>
      <c r="J221" s="678">
        <v>406.2</v>
      </c>
      <c r="K221" s="678">
        <v>406.1</v>
      </c>
      <c r="L221" s="678">
        <v>404.7</v>
      </c>
      <c r="M221" s="678">
        <v>403.7</v>
      </c>
      <c r="N221" s="678">
        <v>404.7</v>
      </c>
    </row>
    <row r="222" spans="4:22" x14ac:dyDescent="0.3">
      <c r="D222" s="676">
        <v>99</v>
      </c>
      <c r="E222" s="678">
        <v>440.7</v>
      </c>
      <c r="F222" s="678">
        <v>440.2</v>
      </c>
      <c r="G222" s="678">
        <v>433.9</v>
      </c>
      <c r="H222" s="678">
        <v>430.5</v>
      </c>
      <c r="I222" s="678">
        <v>432</v>
      </c>
      <c r="J222" s="678">
        <v>430.8</v>
      </c>
      <c r="K222" s="678">
        <v>430.8</v>
      </c>
      <c r="L222" s="678">
        <v>429.2</v>
      </c>
      <c r="M222" s="678">
        <v>428</v>
      </c>
      <c r="N222" s="678">
        <v>429.7</v>
      </c>
    </row>
    <row r="223" spans="4:22" x14ac:dyDescent="0.3">
      <c r="D223" s="676">
        <v>100</v>
      </c>
      <c r="E223" s="678">
        <v>460.2</v>
      </c>
      <c r="F223" s="678">
        <v>459.7</v>
      </c>
      <c r="G223" s="678">
        <v>455</v>
      </c>
      <c r="H223" s="678">
        <v>450.2</v>
      </c>
      <c r="I223" s="678">
        <v>452.5</v>
      </c>
      <c r="J223" s="678">
        <v>450.7</v>
      </c>
      <c r="K223" s="678">
        <v>450.9</v>
      </c>
      <c r="L223" s="678">
        <v>449.2</v>
      </c>
      <c r="M223" s="678">
        <v>447.6</v>
      </c>
      <c r="N223" s="678">
        <v>450.2</v>
      </c>
    </row>
  </sheetData>
  <mergeCells count="2">
    <mergeCell ref="D1:K1"/>
    <mergeCell ref="X120:AC120"/>
  </mergeCells>
  <phoneticPr fontId="40" type="noConversion"/>
  <printOptions horizontalCentered="1"/>
  <pageMargins left="0.24" right="0.17" top="0.52" bottom="0.38" header="0.31496062992126" footer="0.16"/>
  <pageSetup paperSize="9" scale="3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1B60-BDA2-41A8-82B9-25AA40B2C7CE}">
  <sheetPr>
    <tabColor rgb="FFFF0000"/>
    <pageSetUpPr fitToPage="1"/>
  </sheetPr>
  <dimension ref="D1:R112"/>
  <sheetViews>
    <sheetView showGridLines="0" zoomScale="70" zoomScaleNormal="70" zoomScaleSheetLayoutView="10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N15" sqref="N15"/>
    </sheetView>
  </sheetViews>
  <sheetFormatPr defaultColWidth="9.140625" defaultRowHeight="17.25" x14ac:dyDescent="0.3"/>
  <cols>
    <col min="1" max="2" width="9.140625" style="525"/>
    <col min="3" max="3" width="1" style="525" customWidth="1"/>
    <col min="4" max="4" width="31.28515625" style="538" customWidth="1"/>
    <col min="5" max="5" width="31.85546875" style="538" bestFit="1" customWidth="1"/>
    <col min="6" max="6" width="14.42578125" style="538" customWidth="1"/>
    <col min="7" max="11" width="22.7109375" style="538" customWidth="1"/>
    <col min="12" max="14" width="9.140625" style="525"/>
    <col min="15" max="16" width="15" style="538" customWidth="1"/>
    <col min="17" max="16384" width="9.140625" style="525"/>
  </cols>
  <sheetData>
    <row r="1" spans="4:18" ht="26.25" customHeight="1" x14ac:dyDescent="0.35">
      <c r="D1" s="855" t="s">
        <v>9</v>
      </c>
      <c r="E1" s="855"/>
      <c r="F1" s="855"/>
      <c r="G1" s="855"/>
      <c r="H1" s="855"/>
      <c r="I1" s="522"/>
      <c r="J1" s="523"/>
      <c r="K1" s="523"/>
      <c r="O1" s="523"/>
      <c r="P1" s="523"/>
    </row>
    <row r="2" spans="4:18" ht="30.75" customHeight="1" x14ac:dyDescent="0.3">
      <c r="D2" s="526" t="s">
        <v>10</v>
      </c>
      <c r="E2" s="527" t="s">
        <v>11</v>
      </c>
      <c r="F2" s="528"/>
      <c r="G2" s="528"/>
      <c r="H2" s="529"/>
      <c r="I2" s="529"/>
      <c r="J2" s="525"/>
      <c r="K2" s="525"/>
      <c r="O2" s="530"/>
      <c r="P2" s="530"/>
    </row>
    <row r="3" spans="4:18" ht="26.25" customHeight="1" x14ac:dyDescent="0.3">
      <c r="D3" s="526" t="s">
        <v>12</v>
      </c>
      <c r="E3" s="532" t="s">
        <v>13</v>
      </c>
      <c r="F3" s="533"/>
      <c r="G3" s="533"/>
      <c r="H3" s="529"/>
      <c r="I3" s="529"/>
      <c r="J3" s="525"/>
      <c r="K3" s="525"/>
      <c r="O3" s="529"/>
      <c r="P3" s="529"/>
    </row>
    <row r="4" spans="4:18" ht="28.5" customHeight="1" x14ac:dyDescent="0.3">
      <c r="D4" s="526" t="s">
        <v>14</v>
      </c>
      <c r="E4" s="534" t="s">
        <v>15</v>
      </c>
      <c r="F4" s="533"/>
      <c r="G4" s="533"/>
      <c r="H4" s="856" t="s">
        <v>503</v>
      </c>
      <c r="I4" s="856"/>
      <c r="J4" s="856"/>
      <c r="K4" s="856"/>
      <c r="O4" s="530"/>
      <c r="P4" s="530"/>
    </row>
    <row r="5" spans="4:18" ht="56.25" customHeight="1" x14ac:dyDescent="0.3">
      <c r="D5" s="537"/>
      <c r="H5" s="539" t="s">
        <v>510</v>
      </c>
      <c r="I5" s="539" t="s">
        <v>510</v>
      </c>
      <c r="J5" s="539" t="s">
        <v>511</v>
      </c>
      <c r="K5" s="539" t="s">
        <v>512</v>
      </c>
      <c r="O5" s="531"/>
      <c r="P5" s="531"/>
    </row>
    <row r="6" spans="4:18" ht="17.25" customHeight="1" thickBot="1" x14ac:dyDescent="0.35">
      <c r="D6" s="537"/>
      <c r="H6" s="530">
        <v>241224</v>
      </c>
      <c r="I6" s="530">
        <v>241224</v>
      </c>
      <c r="J6" s="530">
        <v>251224</v>
      </c>
      <c r="K6" s="530">
        <v>261224</v>
      </c>
      <c r="O6" s="531"/>
      <c r="P6" s="531"/>
    </row>
    <row r="7" spans="4:18" ht="18" thickBot="1" x14ac:dyDescent="0.35">
      <c r="D7" s="541" t="s">
        <v>22</v>
      </c>
      <c r="E7" s="542" t="s">
        <v>23</v>
      </c>
      <c r="F7" s="543" t="s">
        <v>24</v>
      </c>
      <c r="G7" s="544" t="s">
        <v>25</v>
      </c>
      <c r="H7" s="544" t="s">
        <v>504</v>
      </c>
      <c r="I7" s="634" t="s">
        <v>505</v>
      </c>
      <c r="J7" s="634" t="s">
        <v>504</v>
      </c>
      <c r="K7" s="635" t="s">
        <v>504</v>
      </c>
      <c r="O7" s="531"/>
      <c r="P7" s="531"/>
    </row>
    <row r="8" spans="4:18" ht="19.5" customHeight="1" x14ac:dyDescent="0.3">
      <c r="D8" s="599" t="s">
        <v>58</v>
      </c>
      <c r="E8" s="846" t="s">
        <v>59</v>
      </c>
      <c r="F8" s="843" t="s">
        <v>49</v>
      </c>
      <c r="G8" s="569"/>
      <c r="H8" s="569"/>
      <c r="I8" s="579"/>
      <c r="J8" s="579"/>
      <c r="K8" s="580"/>
      <c r="O8" s="531"/>
      <c r="P8" s="531"/>
    </row>
    <row r="9" spans="4:18" ht="19.5" customHeight="1" x14ac:dyDescent="0.3">
      <c r="D9" s="566" t="s">
        <v>60</v>
      </c>
      <c r="E9" s="847"/>
      <c r="F9" s="844"/>
      <c r="G9" s="584">
        <v>73.400000000000006</v>
      </c>
      <c r="H9" s="584">
        <v>309.79000000000002</v>
      </c>
      <c r="I9" s="586">
        <v>350.77</v>
      </c>
      <c r="J9" s="586">
        <v>571.29999999999995</v>
      </c>
      <c r="K9" s="587">
        <v>90.29</v>
      </c>
      <c r="O9" s="796">
        <v>241224</v>
      </c>
      <c r="P9" s="796">
        <v>241224</v>
      </c>
      <c r="Q9" s="795">
        <v>251224</v>
      </c>
      <c r="R9" s="795">
        <v>261224</v>
      </c>
    </row>
    <row r="10" spans="4:18" ht="19.5" customHeight="1" thickBot="1" x14ac:dyDescent="0.35">
      <c r="D10" s="566" t="s">
        <v>61</v>
      </c>
      <c r="E10" s="847"/>
      <c r="F10" s="844"/>
      <c r="G10" s="584">
        <v>238.34</v>
      </c>
      <c r="H10" s="584">
        <v>774.81</v>
      </c>
      <c r="I10" s="586">
        <v>1061.1300000000001</v>
      </c>
      <c r="J10" s="586">
        <v>1574.5</v>
      </c>
      <c r="K10" s="587">
        <v>255.56</v>
      </c>
      <c r="O10" s="670"/>
      <c r="P10" s="670"/>
    </row>
    <row r="11" spans="4:18" ht="19.5" customHeight="1" x14ac:dyDescent="0.3">
      <c r="D11" s="566" t="s">
        <v>62</v>
      </c>
      <c r="E11" s="847"/>
      <c r="F11" s="844"/>
      <c r="G11" s="584">
        <v>26.05</v>
      </c>
      <c r="H11" s="584">
        <v>2254.5500000000002</v>
      </c>
      <c r="I11" s="586">
        <v>130.30000000000001</v>
      </c>
      <c r="J11" s="586">
        <v>196.85</v>
      </c>
      <c r="K11" s="587">
        <v>36.51</v>
      </c>
      <c r="O11" s="785" t="s">
        <v>513</v>
      </c>
      <c r="P11" s="785" t="s">
        <v>516</v>
      </c>
      <c r="Q11" s="785" t="s">
        <v>514</v>
      </c>
      <c r="R11" s="785" t="s">
        <v>515</v>
      </c>
    </row>
    <row r="12" spans="4:18" ht="19.5" customHeight="1" x14ac:dyDescent="0.3">
      <c r="D12" s="566" t="s">
        <v>63</v>
      </c>
      <c r="E12" s="847"/>
      <c r="F12" s="844"/>
      <c r="G12" s="584">
        <v>14.22</v>
      </c>
      <c r="H12" s="608">
        <v>61.04</v>
      </c>
      <c r="I12" s="586">
        <v>31.41</v>
      </c>
      <c r="J12" s="586">
        <v>37.14</v>
      </c>
      <c r="K12" s="587">
        <v>2.31</v>
      </c>
      <c r="N12" s="526">
        <v>0</v>
      </c>
      <c r="O12" s="678">
        <v>165.07</v>
      </c>
      <c r="P12" s="678">
        <v>98.16</v>
      </c>
      <c r="Q12" s="678">
        <v>157</v>
      </c>
      <c r="R12" s="678">
        <v>182</v>
      </c>
    </row>
    <row r="13" spans="4:18" ht="19.5" customHeight="1" x14ac:dyDescent="0.3">
      <c r="D13" s="566" t="s">
        <v>64</v>
      </c>
      <c r="E13" s="848"/>
      <c r="F13" s="845"/>
      <c r="G13" s="584">
        <v>19.399999999999999</v>
      </c>
      <c r="H13" s="584">
        <v>1501.29</v>
      </c>
      <c r="I13" s="586">
        <v>571.87</v>
      </c>
      <c r="J13" s="586">
        <v>746.91</v>
      </c>
      <c r="K13" s="587">
        <v>80.3</v>
      </c>
      <c r="N13" s="525">
        <v>1</v>
      </c>
      <c r="O13" s="678">
        <v>193.11</v>
      </c>
      <c r="P13" s="678">
        <v>135.27000000000001</v>
      </c>
      <c r="Q13" s="678">
        <v>186</v>
      </c>
      <c r="R13" s="678">
        <v>207</v>
      </c>
    </row>
    <row r="14" spans="4:18" ht="19.5" customHeight="1" x14ac:dyDescent="0.3">
      <c r="D14" s="639" t="s">
        <v>6</v>
      </c>
      <c r="E14" s="603"/>
      <c r="F14" s="604"/>
      <c r="G14" s="640" t="s">
        <v>28</v>
      </c>
      <c r="H14" s="641">
        <v>73.555858310626704</v>
      </c>
      <c r="I14" s="642">
        <f>100-((I9/$G$9)*100)</f>
        <v>-377.88828337874651</v>
      </c>
      <c r="J14" s="642">
        <f>100-((J9/$G$9)*100)</f>
        <v>-678.33787465940043</v>
      </c>
      <c r="K14" s="641">
        <f>100-((K9/$G$9)*100)</f>
        <v>-23.010899182561317</v>
      </c>
      <c r="N14" s="525">
        <v>2</v>
      </c>
      <c r="O14" s="678">
        <v>249.62</v>
      </c>
      <c r="P14" s="678">
        <v>171.91</v>
      </c>
      <c r="Q14" s="678">
        <v>220</v>
      </c>
      <c r="R14" s="678">
        <v>235</v>
      </c>
    </row>
    <row r="15" spans="4:18" ht="19.5" customHeight="1" x14ac:dyDescent="0.3">
      <c r="D15" s="639" t="s">
        <v>7</v>
      </c>
      <c r="E15" s="603" t="s">
        <v>364</v>
      </c>
      <c r="F15" s="604" t="s">
        <v>66</v>
      </c>
      <c r="G15" s="640" t="s">
        <v>28</v>
      </c>
      <c r="H15" s="641">
        <v>88.709406729881678</v>
      </c>
      <c r="I15" s="642">
        <f>100-((I10/G10)*100)</f>
        <v>-345.21691700931444</v>
      </c>
      <c r="J15" s="642">
        <f>100-((J10/$G$10)*100)</f>
        <v>-560.61089200302092</v>
      </c>
      <c r="K15" s="643">
        <f>100-((K10/$G$10)*100)</f>
        <v>-7.2249727280355671</v>
      </c>
      <c r="N15" s="525">
        <v>3</v>
      </c>
      <c r="O15" s="678">
        <v>285.27</v>
      </c>
      <c r="P15" s="678">
        <v>199.61</v>
      </c>
      <c r="Q15" s="678">
        <v>245</v>
      </c>
      <c r="R15" s="678">
        <v>255</v>
      </c>
    </row>
    <row r="16" spans="4:18" ht="19.5" customHeight="1" x14ac:dyDescent="0.3">
      <c r="D16" s="639" t="s">
        <v>67</v>
      </c>
      <c r="E16" s="603"/>
      <c r="F16" s="604"/>
      <c r="G16" s="640" t="s">
        <v>28</v>
      </c>
      <c r="H16" s="641">
        <v>85.141464040546609</v>
      </c>
      <c r="I16" s="642">
        <f>100-(((I9+I10)/($G$9+$G$10))*100)</f>
        <v>-352.90947584525566</v>
      </c>
      <c r="J16" s="642">
        <f>100-(((J9+J10)/($G$9+$G$10))*100)</f>
        <v>-588.33001860524803</v>
      </c>
      <c r="K16" s="643">
        <f>100-(((K9+K10)/($G$9+$G$10))*100)</f>
        <v>-10.941810483094883</v>
      </c>
      <c r="N16" s="525">
        <v>4</v>
      </c>
      <c r="O16" s="678">
        <v>312.19</v>
      </c>
      <c r="P16" s="678">
        <v>222.95</v>
      </c>
      <c r="Q16" s="678">
        <v>264</v>
      </c>
      <c r="R16" s="678">
        <v>271</v>
      </c>
    </row>
    <row r="17" spans="4:18" ht="19.5" customHeight="1" x14ac:dyDescent="0.3">
      <c r="D17" s="599" t="s">
        <v>68</v>
      </c>
      <c r="E17" s="846" t="s">
        <v>69</v>
      </c>
      <c r="F17" s="843" t="s">
        <v>70</v>
      </c>
      <c r="G17" s="569"/>
      <c r="H17" s="569"/>
      <c r="I17" s="579"/>
      <c r="J17" s="579"/>
      <c r="K17" s="580"/>
      <c r="N17" s="525">
        <v>5</v>
      </c>
      <c r="O17" s="678">
        <v>332.77</v>
      </c>
      <c r="P17" s="678">
        <v>243.6</v>
      </c>
      <c r="Q17" s="678">
        <v>283</v>
      </c>
      <c r="R17" s="678">
        <v>286</v>
      </c>
    </row>
    <row r="18" spans="4:18" ht="19.5" customHeight="1" x14ac:dyDescent="0.3">
      <c r="D18" s="607" t="s">
        <v>71</v>
      </c>
      <c r="E18" s="849"/>
      <c r="F18" s="844"/>
      <c r="G18" s="608">
        <v>376</v>
      </c>
      <c r="H18" s="608">
        <f>O12</f>
        <v>165.07</v>
      </c>
      <c r="I18" s="608">
        <f>P12</f>
        <v>98.16</v>
      </c>
      <c r="J18" s="608">
        <f t="shared" ref="J18:K18" si="0">Q12</f>
        <v>157</v>
      </c>
      <c r="K18" s="608">
        <f t="shared" si="0"/>
        <v>182</v>
      </c>
      <c r="N18" s="525">
        <v>6</v>
      </c>
      <c r="O18" s="678">
        <v>349.13</v>
      </c>
      <c r="P18" s="678">
        <v>261.60000000000002</v>
      </c>
      <c r="Q18" s="678">
        <v>299</v>
      </c>
      <c r="R18" s="678">
        <v>300</v>
      </c>
    </row>
    <row r="19" spans="4:18" ht="19.5" customHeight="1" x14ac:dyDescent="0.3">
      <c r="D19" s="607">
        <v>5</v>
      </c>
      <c r="E19" s="849"/>
      <c r="F19" s="844"/>
      <c r="G19" s="608">
        <v>510</v>
      </c>
      <c r="H19" s="608">
        <f>O17</f>
        <v>332.77</v>
      </c>
      <c r="I19" s="608">
        <f>P17</f>
        <v>243.6</v>
      </c>
      <c r="J19" s="608">
        <f t="shared" ref="J19:K19" si="1">Q17</f>
        <v>283</v>
      </c>
      <c r="K19" s="608">
        <f t="shared" si="1"/>
        <v>286</v>
      </c>
      <c r="N19" s="525">
        <v>7</v>
      </c>
      <c r="O19" s="678">
        <v>361.65</v>
      </c>
      <c r="P19" s="678">
        <v>277.99</v>
      </c>
      <c r="Q19" s="678">
        <v>313</v>
      </c>
      <c r="R19" s="678">
        <v>313</v>
      </c>
    </row>
    <row r="20" spans="4:18" ht="19.5" customHeight="1" x14ac:dyDescent="0.3">
      <c r="D20" s="607">
        <v>10</v>
      </c>
      <c r="E20" s="849"/>
      <c r="F20" s="844"/>
      <c r="G20" s="608">
        <v>543.5</v>
      </c>
      <c r="H20" s="608">
        <f>O22</f>
        <v>388.41</v>
      </c>
      <c r="I20" s="608">
        <f>P22</f>
        <v>319.3</v>
      </c>
      <c r="J20" s="608">
        <f t="shared" ref="J20:K20" si="2">Q22</f>
        <v>351</v>
      </c>
      <c r="K20" s="608">
        <f t="shared" si="2"/>
        <v>347</v>
      </c>
      <c r="N20" s="525">
        <v>8</v>
      </c>
      <c r="O20" s="678">
        <v>372.05</v>
      </c>
      <c r="P20" s="678">
        <v>293.27</v>
      </c>
      <c r="Q20" s="678">
        <v>327</v>
      </c>
      <c r="R20" s="678">
        <v>325</v>
      </c>
    </row>
    <row r="21" spans="4:18" ht="19.5" customHeight="1" x14ac:dyDescent="0.3">
      <c r="D21" s="607">
        <v>20</v>
      </c>
      <c r="E21" s="849"/>
      <c r="F21" s="844"/>
      <c r="G21" s="608">
        <v>578</v>
      </c>
      <c r="H21" s="608">
        <f>O32</f>
        <v>443.68</v>
      </c>
      <c r="I21" s="608">
        <f>P32</f>
        <v>412.74</v>
      </c>
      <c r="J21" s="608">
        <f t="shared" ref="J21:K21" si="3">Q32</f>
        <v>442</v>
      </c>
      <c r="K21" s="608">
        <f t="shared" si="3"/>
        <v>432</v>
      </c>
      <c r="N21" s="525">
        <v>9</v>
      </c>
      <c r="O21" s="678">
        <v>380.52</v>
      </c>
      <c r="P21" s="678">
        <v>306.77999999999997</v>
      </c>
      <c r="Q21" s="678">
        <v>339</v>
      </c>
      <c r="R21" s="678">
        <v>336</v>
      </c>
    </row>
    <row r="22" spans="4:18" ht="19.5" customHeight="1" x14ac:dyDescent="0.3">
      <c r="D22" s="607">
        <v>30</v>
      </c>
      <c r="E22" s="849"/>
      <c r="F22" s="844"/>
      <c r="G22" s="608">
        <v>606</v>
      </c>
      <c r="H22" s="608">
        <f>O42</f>
        <v>495.08</v>
      </c>
      <c r="I22" s="608">
        <f>P42</f>
        <v>483.79</v>
      </c>
      <c r="J22" s="608">
        <f t="shared" ref="J22:K22" si="4">Q42</f>
        <v>514</v>
      </c>
      <c r="K22" s="608">
        <f t="shared" si="4"/>
        <v>502</v>
      </c>
      <c r="N22" s="525">
        <v>10</v>
      </c>
      <c r="O22" s="678">
        <v>388.41</v>
      </c>
      <c r="P22" s="678">
        <v>319.3</v>
      </c>
      <c r="Q22" s="678">
        <v>351</v>
      </c>
      <c r="R22" s="678">
        <v>347</v>
      </c>
    </row>
    <row r="23" spans="4:18" ht="19.5" customHeight="1" x14ac:dyDescent="0.3">
      <c r="D23" s="607">
        <v>40</v>
      </c>
      <c r="E23" s="849"/>
      <c r="F23" s="844"/>
      <c r="G23" s="608">
        <v>635</v>
      </c>
      <c r="H23" s="608">
        <f>O52</f>
        <v>545.29999999999995</v>
      </c>
      <c r="I23" s="608">
        <f>P52</f>
        <v>535.23</v>
      </c>
      <c r="J23" s="608">
        <f t="shared" ref="J23:K23" si="5">Q52</f>
        <v>563</v>
      </c>
      <c r="K23" s="608">
        <f t="shared" si="5"/>
        <v>551</v>
      </c>
      <c r="N23" s="525">
        <v>11</v>
      </c>
      <c r="O23" s="678">
        <v>395.16</v>
      </c>
      <c r="P23" s="678">
        <v>331.31</v>
      </c>
      <c r="Q23" s="678">
        <v>361</v>
      </c>
      <c r="R23" s="678">
        <v>357</v>
      </c>
    </row>
    <row r="24" spans="4:18" ht="19.5" customHeight="1" x14ac:dyDescent="0.3">
      <c r="D24" s="607">
        <v>50</v>
      </c>
      <c r="E24" s="849"/>
      <c r="F24" s="844"/>
      <c r="G24" s="608">
        <v>667</v>
      </c>
      <c r="H24" s="608">
        <f>O62</f>
        <v>585.47</v>
      </c>
      <c r="I24" s="608">
        <f>P62</f>
        <v>570.66999999999996</v>
      </c>
      <c r="J24" s="608">
        <f t="shared" ref="J24:K24" si="6">Q62</f>
        <v>601</v>
      </c>
      <c r="K24" s="608">
        <f t="shared" si="6"/>
        <v>586</v>
      </c>
      <c r="N24" s="525">
        <v>12</v>
      </c>
      <c r="O24" s="678">
        <v>401.24</v>
      </c>
      <c r="P24" s="678">
        <v>342.52</v>
      </c>
      <c r="Q24" s="678">
        <v>372</v>
      </c>
      <c r="R24" s="678">
        <v>367</v>
      </c>
    </row>
    <row r="25" spans="4:18" ht="19.5" customHeight="1" x14ac:dyDescent="0.3">
      <c r="D25" s="607">
        <v>60</v>
      </c>
      <c r="E25" s="849"/>
      <c r="F25" s="844"/>
      <c r="G25" s="608">
        <v>705</v>
      </c>
      <c r="H25" s="608">
        <f>O72</f>
        <v>626.85</v>
      </c>
      <c r="I25" s="608">
        <f>P72</f>
        <v>603.20000000000005</v>
      </c>
      <c r="J25" s="608">
        <f t="shared" ref="J25:K25" si="7">Q72</f>
        <v>646</v>
      </c>
      <c r="K25" s="608">
        <f t="shared" si="7"/>
        <v>622</v>
      </c>
      <c r="N25" s="525">
        <v>13</v>
      </c>
      <c r="O25" s="678">
        <v>407.47</v>
      </c>
      <c r="P25" s="678">
        <v>353.26</v>
      </c>
      <c r="Q25" s="678">
        <v>382</v>
      </c>
      <c r="R25" s="678">
        <v>376</v>
      </c>
    </row>
    <row r="26" spans="4:18" ht="19.5" customHeight="1" x14ac:dyDescent="0.3">
      <c r="D26" s="607">
        <v>70</v>
      </c>
      <c r="E26" s="849"/>
      <c r="F26" s="844"/>
      <c r="G26" s="569"/>
      <c r="H26" s="584">
        <f>O82</f>
        <v>680.07</v>
      </c>
      <c r="I26" s="584">
        <f>P82</f>
        <v>641.77</v>
      </c>
      <c r="J26" s="584">
        <f t="shared" ref="J26:K26" si="8">Q82</f>
        <v>0</v>
      </c>
      <c r="K26" s="584">
        <f t="shared" si="8"/>
        <v>668</v>
      </c>
      <c r="N26" s="525">
        <v>14</v>
      </c>
      <c r="O26" s="678">
        <v>412.88</v>
      </c>
      <c r="P26" s="678">
        <v>362.67</v>
      </c>
      <c r="Q26" s="678">
        <v>391</v>
      </c>
      <c r="R26" s="678">
        <v>385</v>
      </c>
    </row>
    <row r="27" spans="4:18" ht="19.5" customHeight="1" x14ac:dyDescent="0.3">
      <c r="D27" s="607">
        <v>80</v>
      </c>
      <c r="E27" s="849"/>
      <c r="F27" s="844"/>
      <c r="G27" s="569"/>
      <c r="H27" s="573"/>
      <c r="I27" s="611">
        <f>P92</f>
        <v>693.72</v>
      </c>
      <c r="J27" s="611">
        <f t="shared" ref="J27:K27" si="9">Q92</f>
        <v>0</v>
      </c>
      <c r="K27" s="611">
        <f t="shared" si="9"/>
        <v>0</v>
      </c>
      <c r="N27" s="525">
        <v>15</v>
      </c>
      <c r="O27" s="678">
        <v>418.47</v>
      </c>
      <c r="P27" s="678">
        <v>372.04</v>
      </c>
      <c r="Q27" s="678">
        <v>400</v>
      </c>
      <c r="R27" s="678">
        <v>393</v>
      </c>
    </row>
    <row r="28" spans="4:18" ht="19.5" customHeight="1" x14ac:dyDescent="0.3">
      <c r="D28" s="607">
        <v>90</v>
      </c>
      <c r="E28" s="849"/>
      <c r="F28" s="844"/>
      <c r="G28" s="569"/>
      <c r="H28" s="573"/>
      <c r="I28" s="577"/>
      <c r="J28" s="579"/>
      <c r="K28" s="580"/>
      <c r="N28" s="525">
        <v>16</v>
      </c>
      <c r="O28" s="678">
        <v>423.55</v>
      </c>
      <c r="P28" s="678">
        <v>380.63</v>
      </c>
      <c r="Q28" s="678">
        <v>409</v>
      </c>
      <c r="R28" s="678">
        <v>401</v>
      </c>
    </row>
    <row r="29" spans="4:18" ht="19.5" customHeight="1" x14ac:dyDescent="0.3">
      <c r="D29" s="607">
        <v>95</v>
      </c>
      <c r="E29" s="849"/>
      <c r="F29" s="844"/>
      <c r="G29" s="569"/>
      <c r="H29" s="573"/>
      <c r="I29" s="579"/>
      <c r="J29" s="579"/>
      <c r="K29" s="580"/>
      <c r="N29" s="525">
        <v>17</v>
      </c>
      <c r="O29" s="678">
        <v>428.62</v>
      </c>
      <c r="P29" s="678">
        <v>389.14</v>
      </c>
      <c r="Q29" s="678">
        <v>417</v>
      </c>
      <c r="R29" s="678">
        <v>409</v>
      </c>
    </row>
    <row r="30" spans="4:18" ht="19.5" customHeight="1" thickBot="1" x14ac:dyDescent="0.35">
      <c r="D30" s="607" t="s">
        <v>72</v>
      </c>
      <c r="E30" s="613" t="s">
        <v>65</v>
      </c>
      <c r="F30" s="845"/>
      <c r="G30" s="614" t="s">
        <v>353</v>
      </c>
      <c r="H30" s="615">
        <f>SUM(H32:H37)-SUM($G$36:$G$37)</f>
        <v>29.37</v>
      </c>
      <c r="I30" s="615">
        <f t="shared" ref="I30:J30" si="10">SUM(I32:I37)-SUM($G$36:$G$37)</f>
        <v>32.61</v>
      </c>
      <c r="J30" s="615">
        <f t="shared" si="10"/>
        <v>25.082999999999995</v>
      </c>
      <c r="K30" s="615">
        <f>SUM(K32:K37)-SUM($G$36:$G$37)</f>
        <v>28.166999999999998</v>
      </c>
      <c r="N30" s="525">
        <v>18</v>
      </c>
      <c r="O30" s="678">
        <v>433.72</v>
      </c>
      <c r="P30" s="678">
        <v>397.36</v>
      </c>
      <c r="Q30" s="678">
        <v>425</v>
      </c>
      <c r="R30" s="678">
        <v>417</v>
      </c>
    </row>
    <row r="31" spans="4:18" ht="19.5" customHeight="1" x14ac:dyDescent="0.3">
      <c r="D31" s="616" t="s">
        <v>354</v>
      </c>
      <c r="E31" s="617"/>
      <c r="F31" s="618"/>
      <c r="G31" s="619"/>
      <c r="H31" s="619"/>
      <c r="I31" s="620"/>
      <c r="J31" s="620"/>
      <c r="K31" s="620"/>
      <c r="N31" s="525">
        <v>19</v>
      </c>
      <c r="O31" s="678">
        <v>438.58</v>
      </c>
      <c r="P31" s="678">
        <v>405.09</v>
      </c>
      <c r="Q31" s="678">
        <v>434</v>
      </c>
      <c r="R31" s="678">
        <v>425</v>
      </c>
    </row>
    <row r="32" spans="4:18" ht="19.5" customHeight="1" x14ac:dyDescent="0.3">
      <c r="D32" s="621" t="s">
        <v>187</v>
      </c>
      <c r="E32" s="829" t="s">
        <v>69</v>
      </c>
      <c r="F32" s="832" t="s">
        <v>47</v>
      </c>
      <c r="G32" s="622">
        <v>0</v>
      </c>
      <c r="H32" s="394">
        <v>0</v>
      </c>
      <c r="I32" s="623">
        <v>0.41</v>
      </c>
      <c r="J32" s="623">
        <v>7.0000000000000007E-2</v>
      </c>
      <c r="K32" s="623">
        <v>4.0000000000000001E-3</v>
      </c>
      <c r="N32" s="525">
        <v>20</v>
      </c>
      <c r="O32" s="678">
        <v>443.68</v>
      </c>
      <c r="P32" s="678">
        <v>412.74</v>
      </c>
      <c r="Q32" s="678">
        <v>442</v>
      </c>
      <c r="R32" s="678">
        <v>432</v>
      </c>
    </row>
    <row r="33" spans="4:18" ht="19.5" customHeight="1" x14ac:dyDescent="0.3">
      <c r="D33" s="621" t="s">
        <v>188</v>
      </c>
      <c r="E33" s="830"/>
      <c r="F33" s="833"/>
      <c r="G33" s="622">
        <v>0</v>
      </c>
      <c r="H33" s="394">
        <v>0.36</v>
      </c>
      <c r="I33" s="623">
        <v>1.19</v>
      </c>
      <c r="J33" s="623">
        <v>0.46800000000000003</v>
      </c>
      <c r="K33" s="623">
        <v>0.215</v>
      </c>
      <c r="N33" s="525">
        <v>21</v>
      </c>
      <c r="O33" s="678">
        <v>448.44</v>
      </c>
      <c r="P33" s="678">
        <v>420.29</v>
      </c>
      <c r="Q33" s="678">
        <v>450</v>
      </c>
      <c r="R33" s="678">
        <v>440</v>
      </c>
    </row>
    <row r="34" spans="4:18" ht="19.5" customHeight="1" x14ac:dyDescent="0.3">
      <c r="D34" s="621" t="s">
        <v>189</v>
      </c>
      <c r="E34" s="830"/>
      <c r="F34" s="833"/>
      <c r="G34" s="622">
        <v>0</v>
      </c>
      <c r="H34" s="394">
        <v>1.65</v>
      </c>
      <c r="I34" s="623">
        <v>3.73</v>
      </c>
      <c r="J34" s="623">
        <v>2.6920000000000002</v>
      </c>
      <c r="K34" s="623">
        <v>2.4620000000000002</v>
      </c>
      <c r="N34" s="525">
        <v>22</v>
      </c>
      <c r="O34" s="678">
        <v>453.69</v>
      </c>
      <c r="P34" s="678">
        <v>427.78</v>
      </c>
      <c r="Q34" s="678">
        <v>458</v>
      </c>
      <c r="R34" s="678">
        <v>447</v>
      </c>
    </row>
    <row r="35" spans="4:18" ht="19.5" customHeight="1" x14ac:dyDescent="0.3">
      <c r="D35" s="621" t="s">
        <v>190</v>
      </c>
      <c r="E35" s="830"/>
      <c r="F35" s="833"/>
      <c r="G35" s="622">
        <v>0</v>
      </c>
      <c r="H35" s="394">
        <v>4.84</v>
      </c>
      <c r="I35" s="623">
        <v>8.36</v>
      </c>
      <c r="J35" s="623">
        <v>7.6379999999999999</v>
      </c>
      <c r="K35" s="623">
        <v>8.6120000000000001</v>
      </c>
      <c r="N35" s="525">
        <v>23</v>
      </c>
      <c r="O35" s="678">
        <v>458.6</v>
      </c>
      <c r="P35" s="678">
        <v>435.28</v>
      </c>
      <c r="Q35" s="678">
        <v>465</v>
      </c>
      <c r="R35" s="678">
        <v>455</v>
      </c>
    </row>
    <row r="36" spans="4:18" ht="19.5" customHeight="1" x14ac:dyDescent="0.3">
      <c r="D36" s="621" t="s">
        <v>191</v>
      </c>
      <c r="E36" s="830"/>
      <c r="F36" s="833"/>
      <c r="G36" s="622">
        <v>4.17</v>
      </c>
      <c r="H36" s="394">
        <v>24.07</v>
      </c>
      <c r="I36" s="623">
        <v>18.97</v>
      </c>
      <c r="J36" s="623">
        <v>16.870999999999999</v>
      </c>
      <c r="K36" s="623">
        <v>18.306999999999999</v>
      </c>
      <c r="N36" s="525">
        <v>24</v>
      </c>
      <c r="O36" s="678">
        <v>463.69</v>
      </c>
      <c r="P36" s="678">
        <v>442.62</v>
      </c>
      <c r="Q36" s="678">
        <v>473</v>
      </c>
      <c r="R36" s="678">
        <v>462</v>
      </c>
    </row>
    <row r="37" spans="4:18" ht="19.5" customHeight="1" x14ac:dyDescent="0.3">
      <c r="D37" s="621" t="s">
        <v>133</v>
      </c>
      <c r="E37" s="830"/>
      <c r="F37" s="833"/>
      <c r="G37" s="622">
        <f>14.05-G36</f>
        <v>9.8800000000000008</v>
      </c>
      <c r="H37" s="394">
        <v>12.5</v>
      </c>
      <c r="I37" s="623">
        <v>14</v>
      </c>
      <c r="J37" s="623">
        <v>11.394</v>
      </c>
      <c r="K37" s="623">
        <v>12.617000000000001</v>
      </c>
      <c r="N37" s="525">
        <v>25</v>
      </c>
      <c r="O37" s="678">
        <v>468.87</v>
      </c>
      <c r="P37" s="678">
        <v>449.81</v>
      </c>
      <c r="Q37" s="678">
        <v>480</v>
      </c>
      <c r="R37" s="678">
        <v>469</v>
      </c>
    </row>
    <row r="38" spans="4:18" ht="19.5" customHeight="1" x14ac:dyDescent="0.3">
      <c r="D38" s="621" t="s">
        <v>355</v>
      </c>
      <c r="E38" s="831"/>
      <c r="F38" s="834"/>
      <c r="G38" s="622">
        <f>100-SUM(G32:G37)</f>
        <v>85.95</v>
      </c>
      <c r="H38" s="394">
        <f>100-SUM(H32:H37)</f>
        <v>56.58</v>
      </c>
      <c r="I38" s="623">
        <f t="shared" ref="I38:K38" si="11">100-SUM(I32:I37)</f>
        <v>53.34</v>
      </c>
      <c r="J38" s="623">
        <f t="shared" si="11"/>
        <v>60.867000000000004</v>
      </c>
      <c r="K38" s="623">
        <f t="shared" si="11"/>
        <v>57.783000000000001</v>
      </c>
      <c r="N38" s="525">
        <v>26</v>
      </c>
      <c r="O38" s="678">
        <v>473.86</v>
      </c>
      <c r="P38" s="678">
        <v>457.02</v>
      </c>
      <c r="Q38" s="678">
        <v>488</v>
      </c>
      <c r="R38" s="678">
        <v>476</v>
      </c>
    </row>
    <row r="39" spans="4:18" ht="19.5" customHeight="1" thickBot="1" x14ac:dyDescent="0.35">
      <c r="D39" s="624" t="s">
        <v>356</v>
      </c>
      <c r="E39" s="617"/>
      <c r="F39" s="618"/>
      <c r="G39" s="625">
        <f>SUM(G32:G38)</f>
        <v>100</v>
      </c>
      <c r="H39" s="625">
        <f t="shared" ref="H39:K39" si="12">SUM(H32:H38)</f>
        <v>100</v>
      </c>
      <c r="I39" s="625">
        <f t="shared" si="12"/>
        <v>100</v>
      </c>
      <c r="J39" s="625">
        <f t="shared" si="12"/>
        <v>100</v>
      </c>
      <c r="K39" s="625">
        <f t="shared" si="12"/>
        <v>100</v>
      </c>
      <c r="N39" s="525">
        <v>27</v>
      </c>
      <c r="O39" s="678">
        <v>479.08</v>
      </c>
      <c r="P39" s="678">
        <v>464.02</v>
      </c>
      <c r="Q39" s="678">
        <v>495</v>
      </c>
      <c r="R39" s="678">
        <v>483</v>
      </c>
    </row>
    <row r="40" spans="4:18" x14ac:dyDescent="0.3">
      <c r="N40" s="525">
        <v>28</v>
      </c>
      <c r="O40" s="678">
        <v>484.39</v>
      </c>
      <c r="P40" s="678">
        <v>470.82</v>
      </c>
      <c r="Q40" s="678">
        <v>502</v>
      </c>
      <c r="R40" s="678">
        <v>490</v>
      </c>
    </row>
    <row r="41" spans="4:18" x14ac:dyDescent="0.3">
      <c r="L41" s="538"/>
      <c r="M41" s="538"/>
      <c r="N41" s="525">
        <v>29</v>
      </c>
      <c r="O41" s="678">
        <v>489.68</v>
      </c>
      <c r="P41" s="678">
        <v>477.38</v>
      </c>
      <c r="Q41" s="678">
        <v>508</v>
      </c>
      <c r="R41" s="678">
        <v>496</v>
      </c>
    </row>
    <row r="42" spans="4:18" x14ac:dyDescent="0.3">
      <c r="N42" s="525">
        <v>30</v>
      </c>
      <c r="O42" s="678">
        <v>495.08</v>
      </c>
      <c r="P42" s="678">
        <v>483.79</v>
      </c>
      <c r="Q42" s="678">
        <v>514</v>
      </c>
      <c r="R42" s="678">
        <v>502</v>
      </c>
    </row>
    <row r="43" spans="4:18" x14ac:dyDescent="0.3">
      <c r="N43" s="525">
        <v>31</v>
      </c>
      <c r="O43" s="678">
        <v>500.4</v>
      </c>
      <c r="P43" s="678">
        <v>490.05</v>
      </c>
      <c r="Q43" s="678">
        <v>521</v>
      </c>
      <c r="R43" s="678">
        <v>508</v>
      </c>
    </row>
    <row r="44" spans="4:18" x14ac:dyDescent="0.3">
      <c r="N44" s="525">
        <v>32</v>
      </c>
      <c r="O44" s="678">
        <v>505.71</v>
      </c>
      <c r="P44" s="678">
        <v>496.14</v>
      </c>
      <c r="Q44" s="678">
        <v>526</v>
      </c>
      <c r="R44" s="678">
        <v>514</v>
      </c>
    </row>
    <row r="45" spans="4:18" x14ac:dyDescent="0.3">
      <c r="N45" s="525">
        <v>33</v>
      </c>
      <c r="O45" s="678">
        <v>510.97</v>
      </c>
      <c r="P45" s="678">
        <v>501.8</v>
      </c>
      <c r="Q45" s="678">
        <v>532</v>
      </c>
      <c r="R45" s="678">
        <v>520</v>
      </c>
    </row>
    <row r="46" spans="4:18" x14ac:dyDescent="0.3">
      <c r="N46" s="525">
        <v>34</v>
      </c>
      <c r="O46" s="678">
        <v>516.19000000000005</v>
      </c>
      <c r="P46" s="678">
        <v>507.25</v>
      </c>
      <c r="Q46" s="678">
        <v>537</v>
      </c>
      <c r="R46" s="678">
        <v>525</v>
      </c>
    </row>
    <row r="47" spans="4:18" x14ac:dyDescent="0.3">
      <c r="N47" s="525">
        <v>35</v>
      </c>
      <c r="O47" s="678">
        <v>521.29999999999995</v>
      </c>
      <c r="P47" s="678">
        <v>512.49</v>
      </c>
      <c r="Q47" s="678">
        <v>541</v>
      </c>
      <c r="R47" s="678">
        <v>530</v>
      </c>
    </row>
    <row r="48" spans="4:18" x14ac:dyDescent="0.3">
      <c r="N48" s="525">
        <v>36</v>
      </c>
      <c r="O48" s="678">
        <v>526.26</v>
      </c>
      <c r="P48" s="678">
        <v>517.47</v>
      </c>
      <c r="Q48" s="678">
        <v>546</v>
      </c>
      <c r="R48" s="678">
        <v>534</v>
      </c>
    </row>
    <row r="49" spans="14:18" x14ac:dyDescent="0.3">
      <c r="N49" s="525">
        <v>37</v>
      </c>
      <c r="O49" s="678">
        <v>531.15</v>
      </c>
      <c r="P49" s="678">
        <v>522.23</v>
      </c>
      <c r="Q49" s="678">
        <v>551</v>
      </c>
      <c r="R49" s="678">
        <v>539</v>
      </c>
    </row>
    <row r="50" spans="14:18" x14ac:dyDescent="0.3">
      <c r="N50" s="525">
        <v>38</v>
      </c>
      <c r="O50" s="678">
        <v>535.97</v>
      </c>
      <c r="P50" s="678">
        <v>526.71</v>
      </c>
      <c r="Q50" s="678">
        <v>555</v>
      </c>
      <c r="R50" s="678">
        <v>543</v>
      </c>
    </row>
    <row r="51" spans="14:18" x14ac:dyDescent="0.3">
      <c r="N51" s="525">
        <v>39</v>
      </c>
      <c r="O51" s="678">
        <v>540.69000000000005</v>
      </c>
      <c r="P51" s="678">
        <v>531.04</v>
      </c>
      <c r="Q51" s="678">
        <v>559</v>
      </c>
      <c r="R51" s="678">
        <v>547</v>
      </c>
    </row>
    <row r="52" spans="14:18" x14ac:dyDescent="0.3">
      <c r="N52" s="525">
        <v>40</v>
      </c>
      <c r="O52" s="678">
        <v>545.29999999999995</v>
      </c>
      <c r="P52" s="678">
        <v>535.23</v>
      </c>
      <c r="Q52" s="678">
        <v>563</v>
      </c>
      <c r="R52" s="678">
        <v>551</v>
      </c>
    </row>
    <row r="53" spans="14:18" x14ac:dyDescent="0.3">
      <c r="N53" s="525">
        <v>41</v>
      </c>
      <c r="O53" s="678">
        <v>549.79</v>
      </c>
      <c r="P53" s="678">
        <v>539.27</v>
      </c>
      <c r="Q53" s="678">
        <v>567</v>
      </c>
      <c r="R53" s="678">
        <v>555</v>
      </c>
    </row>
    <row r="54" spans="14:18" x14ac:dyDescent="0.3">
      <c r="N54" s="525">
        <v>42</v>
      </c>
      <c r="O54" s="678">
        <v>554.17999999999995</v>
      </c>
      <c r="P54" s="678">
        <v>543.17999999999995</v>
      </c>
      <c r="Q54" s="678">
        <v>571</v>
      </c>
      <c r="R54" s="678">
        <v>559</v>
      </c>
    </row>
    <row r="55" spans="14:18" x14ac:dyDescent="0.3">
      <c r="N55" s="525">
        <v>43</v>
      </c>
      <c r="O55" s="678">
        <v>558.30999999999995</v>
      </c>
      <c r="P55" s="678">
        <v>547.01</v>
      </c>
      <c r="Q55" s="678">
        <v>575</v>
      </c>
      <c r="R55" s="678">
        <v>563</v>
      </c>
    </row>
    <row r="56" spans="14:18" x14ac:dyDescent="0.3">
      <c r="N56" s="525">
        <v>44</v>
      </c>
      <c r="O56" s="678">
        <v>562.25</v>
      </c>
      <c r="P56" s="678">
        <v>550.72</v>
      </c>
      <c r="Q56" s="678">
        <v>578</v>
      </c>
      <c r="R56" s="678">
        <v>566</v>
      </c>
    </row>
    <row r="57" spans="14:18" x14ac:dyDescent="0.3">
      <c r="N57" s="525">
        <v>45</v>
      </c>
      <c r="O57" s="678">
        <v>566.14</v>
      </c>
      <c r="P57" s="678">
        <v>554.35</v>
      </c>
      <c r="Q57" s="678">
        <v>582</v>
      </c>
      <c r="R57" s="678">
        <v>570</v>
      </c>
    </row>
    <row r="58" spans="14:18" x14ac:dyDescent="0.3">
      <c r="N58" s="525">
        <v>46</v>
      </c>
      <c r="O58" s="678">
        <v>569.99</v>
      </c>
      <c r="P58" s="678">
        <v>557.78</v>
      </c>
      <c r="Q58" s="678">
        <v>586</v>
      </c>
      <c r="R58" s="678">
        <v>573</v>
      </c>
    </row>
    <row r="59" spans="14:18" x14ac:dyDescent="0.3">
      <c r="N59" s="525">
        <v>47</v>
      </c>
      <c r="O59" s="678">
        <v>573.80999999999995</v>
      </c>
      <c r="P59" s="678">
        <v>561.05999999999995</v>
      </c>
      <c r="Q59" s="678">
        <v>590</v>
      </c>
      <c r="R59" s="678">
        <v>576</v>
      </c>
    </row>
    <row r="60" spans="14:18" x14ac:dyDescent="0.3">
      <c r="N60" s="525">
        <v>48</v>
      </c>
      <c r="O60" s="678">
        <v>577.67999999999995</v>
      </c>
      <c r="P60" s="678">
        <v>564.28</v>
      </c>
      <c r="Q60" s="678">
        <v>593</v>
      </c>
      <c r="R60" s="678">
        <v>579</v>
      </c>
    </row>
    <row r="61" spans="14:18" x14ac:dyDescent="0.3">
      <c r="N61" s="525">
        <v>49</v>
      </c>
      <c r="O61" s="678">
        <v>581.61</v>
      </c>
      <c r="P61" s="678">
        <v>567.48</v>
      </c>
      <c r="Q61" s="678">
        <v>597</v>
      </c>
      <c r="R61" s="678">
        <v>583</v>
      </c>
    </row>
    <row r="62" spans="14:18" x14ac:dyDescent="0.3">
      <c r="N62" s="525">
        <v>50</v>
      </c>
      <c r="O62" s="678">
        <v>585.47</v>
      </c>
      <c r="P62" s="678">
        <v>570.66999999999996</v>
      </c>
      <c r="Q62" s="678">
        <v>601</v>
      </c>
      <c r="R62" s="678">
        <v>586</v>
      </c>
    </row>
    <row r="63" spans="14:18" x14ac:dyDescent="0.3">
      <c r="N63" s="525">
        <v>51</v>
      </c>
      <c r="O63" s="678">
        <v>589.25</v>
      </c>
      <c r="P63" s="678">
        <v>573.83000000000004</v>
      </c>
      <c r="Q63" s="678">
        <v>605</v>
      </c>
      <c r="R63" s="678">
        <v>589</v>
      </c>
    </row>
    <row r="64" spans="14:18" x14ac:dyDescent="0.3">
      <c r="N64" s="525">
        <v>52</v>
      </c>
      <c r="O64" s="678">
        <v>593.07000000000005</v>
      </c>
      <c r="P64" s="678">
        <v>577.04999999999995</v>
      </c>
      <c r="Q64" s="678">
        <v>609</v>
      </c>
      <c r="R64" s="678">
        <v>593</v>
      </c>
    </row>
    <row r="65" spans="14:18" x14ac:dyDescent="0.3">
      <c r="N65" s="525">
        <v>53</v>
      </c>
      <c r="O65" s="678">
        <v>596.95000000000005</v>
      </c>
      <c r="P65" s="678">
        <v>580.30999999999995</v>
      </c>
      <c r="Q65" s="678">
        <v>613</v>
      </c>
      <c r="R65" s="678">
        <v>596</v>
      </c>
    </row>
    <row r="66" spans="14:18" x14ac:dyDescent="0.3">
      <c r="N66" s="525">
        <v>54</v>
      </c>
      <c r="O66" s="678">
        <v>600.94000000000005</v>
      </c>
      <c r="P66" s="678">
        <v>583.6</v>
      </c>
      <c r="Q66" s="678">
        <v>618</v>
      </c>
      <c r="R66" s="678">
        <v>600</v>
      </c>
    </row>
    <row r="67" spans="14:18" x14ac:dyDescent="0.3">
      <c r="N67" s="525">
        <v>55</v>
      </c>
      <c r="O67" s="678">
        <v>605.08000000000004</v>
      </c>
      <c r="P67" s="678">
        <v>586.75</v>
      </c>
      <c r="Q67" s="678">
        <v>622</v>
      </c>
      <c r="R67" s="678">
        <v>603</v>
      </c>
    </row>
    <row r="68" spans="14:18" x14ac:dyDescent="0.3">
      <c r="N68" s="525">
        <v>56</v>
      </c>
      <c r="O68" s="678">
        <v>609.29999999999995</v>
      </c>
      <c r="P68" s="678">
        <v>589.91999999999996</v>
      </c>
      <c r="Q68" s="678">
        <v>627</v>
      </c>
      <c r="R68" s="678">
        <v>607</v>
      </c>
    </row>
    <row r="69" spans="14:18" x14ac:dyDescent="0.3">
      <c r="N69" s="525">
        <v>57</v>
      </c>
      <c r="O69" s="678">
        <v>613.61</v>
      </c>
      <c r="P69" s="678">
        <v>593.14</v>
      </c>
      <c r="Q69" s="678">
        <v>631</v>
      </c>
      <c r="R69" s="678">
        <v>610</v>
      </c>
    </row>
    <row r="70" spans="14:18" x14ac:dyDescent="0.3">
      <c r="N70" s="525">
        <v>58</v>
      </c>
      <c r="O70" s="678">
        <v>617.92999999999995</v>
      </c>
      <c r="P70" s="678">
        <v>596.41</v>
      </c>
      <c r="Q70" s="678">
        <v>636</v>
      </c>
      <c r="R70" s="678">
        <v>614</v>
      </c>
    </row>
    <row r="71" spans="14:18" x14ac:dyDescent="0.3">
      <c r="N71" s="525">
        <v>59</v>
      </c>
      <c r="O71" s="678">
        <v>622.33000000000004</v>
      </c>
      <c r="P71" s="678">
        <v>599.74</v>
      </c>
      <c r="Q71" s="678">
        <v>641</v>
      </c>
      <c r="R71" s="678">
        <v>618</v>
      </c>
    </row>
    <row r="72" spans="14:18" x14ac:dyDescent="0.3">
      <c r="N72" s="525">
        <v>60</v>
      </c>
      <c r="O72" s="678">
        <v>626.85</v>
      </c>
      <c r="P72" s="678">
        <v>603.20000000000005</v>
      </c>
      <c r="Q72" s="678">
        <v>646</v>
      </c>
      <c r="R72" s="678">
        <v>622</v>
      </c>
    </row>
    <row r="73" spans="14:18" x14ac:dyDescent="0.3">
      <c r="N73" s="525">
        <v>61</v>
      </c>
      <c r="O73" s="678">
        <v>631.49</v>
      </c>
      <c r="P73" s="678">
        <v>606.74</v>
      </c>
      <c r="Q73" s="678">
        <v>651</v>
      </c>
      <c r="R73" s="678">
        <v>626</v>
      </c>
    </row>
    <row r="74" spans="14:18" x14ac:dyDescent="0.3">
      <c r="N74" s="525">
        <v>62</v>
      </c>
      <c r="O74" s="678">
        <v>636.23</v>
      </c>
      <c r="P74" s="678">
        <v>610.36</v>
      </c>
      <c r="Q74" s="678">
        <v>657</v>
      </c>
      <c r="R74" s="678">
        <v>630</v>
      </c>
    </row>
    <row r="75" spans="14:18" x14ac:dyDescent="0.3">
      <c r="N75" s="525">
        <v>63</v>
      </c>
      <c r="O75" s="678">
        <v>641.04</v>
      </c>
      <c r="P75" s="678">
        <v>614.05999999999995</v>
      </c>
      <c r="Q75" s="678">
        <v>663</v>
      </c>
      <c r="R75" s="678">
        <v>634</v>
      </c>
    </row>
    <row r="76" spans="14:18" x14ac:dyDescent="0.3">
      <c r="N76" s="525">
        <v>64</v>
      </c>
      <c r="O76" s="678">
        <v>645.99</v>
      </c>
      <c r="P76" s="678">
        <v>617.76</v>
      </c>
      <c r="Q76" s="678">
        <v>670</v>
      </c>
      <c r="R76" s="678">
        <v>638</v>
      </c>
    </row>
    <row r="77" spans="14:18" x14ac:dyDescent="0.3">
      <c r="N77" s="525">
        <v>65</v>
      </c>
      <c r="O77" s="678">
        <v>651.16999999999996</v>
      </c>
      <c r="P77" s="678">
        <v>621.53</v>
      </c>
      <c r="Q77" s="678">
        <v>677</v>
      </c>
      <c r="R77" s="678">
        <v>643</v>
      </c>
    </row>
    <row r="78" spans="14:18" x14ac:dyDescent="0.3">
      <c r="N78" s="525">
        <v>66</v>
      </c>
      <c r="O78" s="678">
        <v>656.53</v>
      </c>
      <c r="P78" s="678">
        <v>625.39</v>
      </c>
      <c r="Q78" s="678">
        <v>685</v>
      </c>
      <c r="R78" s="678">
        <v>647</v>
      </c>
    </row>
    <row r="79" spans="14:18" x14ac:dyDescent="0.3">
      <c r="N79" s="525">
        <v>67</v>
      </c>
      <c r="O79" s="678">
        <v>662.02</v>
      </c>
      <c r="P79" s="678">
        <v>629.35</v>
      </c>
      <c r="Q79" s="678">
        <v>692</v>
      </c>
      <c r="R79" s="678">
        <v>652</v>
      </c>
    </row>
    <row r="80" spans="14:18" x14ac:dyDescent="0.3">
      <c r="N80" s="525">
        <v>68</v>
      </c>
      <c r="O80" s="678">
        <v>667.78</v>
      </c>
      <c r="P80" s="678">
        <v>633.4</v>
      </c>
      <c r="Q80" s="678">
        <v>701</v>
      </c>
      <c r="R80" s="678">
        <v>656</v>
      </c>
    </row>
    <row r="81" spans="14:18" x14ac:dyDescent="0.3">
      <c r="N81" s="525">
        <v>69</v>
      </c>
      <c r="O81" s="678">
        <v>673.78</v>
      </c>
      <c r="P81" s="678">
        <v>637.54999999999995</v>
      </c>
      <c r="Q81" s="678">
        <v>710</v>
      </c>
      <c r="R81" s="678">
        <v>662</v>
      </c>
    </row>
    <row r="82" spans="14:18" x14ac:dyDescent="0.3">
      <c r="N82" s="525">
        <v>70</v>
      </c>
      <c r="O82" s="678">
        <v>680.07</v>
      </c>
      <c r="P82" s="678">
        <v>641.77</v>
      </c>
      <c r="Q82" s="678"/>
      <c r="R82" s="678">
        <v>668</v>
      </c>
    </row>
    <row r="83" spans="14:18" x14ac:dyDescent="0.3">
      <c r="N83" s="525">
        <v>71</v>
      </c>
      <c r="O83" s="678">
        <v>686.56</v>
      </c>
      <c r="P83" s="678">
        <v>646.12</v>
      </c>
      <c r="Q83" s="678"/>
      <c r="R83" s="678">
        <v>674</v>
      </c>
    </row>
    <row r="84" spans="14:18" x14ac:dyDescent="0.3">
      <c r="N84" s="525">
        <v>72</v>
      </c>
      <c r="O84" s="678">
        <v>692.94</v>
      </c>
      <c r="P84" s="678">
        <v>650.67999999999995</v>
      </c>
      <c r="Q84" s="678"/>
      <c r="R84" s="678">
        <v>680</v>
      </c>
    </row>
    <row r="85" spans="14:18" x14ac:dyDescent="0.3">
      <c r="N85" s="525">
        <v>73</v>
      </c>
      <c r="O85" s="678">
        <v>698.91</v>
      </c>
      <c r="P85" s="678">
        <v>655.39</v>
      </c>
      <c r="Q85" s="678"/>
      <c r="R85" s="678">
        <v>687</v>
      </c>
    </row>
    <row r="86" spans="14:18" x14ac:dyDescent="0.3">
      <c r="N86" s="525">
        <v>74</v>
      </c>
      <c r="O86" s="655">
        <v>704.72</v>
      </c>
      <c r="P86" s="655">
        <v>660.22</v>
      </c>
      <c r="Q86" s="655"/>
      <c r="R86" s="655">
        <v>693</v>
      </c>
    </row>
    <row r="87" spans="14:18" x14ac:dyDescent="0.3">
      <c r="N87" s="525">
        <v>75</v>
      </c>
      <c r="O87" s="653">
        <v>710.61</v>
      </c>
      <c r="P87" s="653">
        <v>665.26</v>
      </c>
      <c r="Q87" s="653"/>
      <c r="R87" s="653">
        <v>700</v>
      </c>
    </row>
    <row r="88" spans="14:18" x14ac:dyDescent="0.3">
      <c r="N88" s="525">
        <v>76</v>
      </c>
      <c r="O88" s="653">
        <v>716.89</v>
      </c>
      <c r="P88" s="653">
        <v>670.8</v>
      </c>
      <c r="Q88" s="653"/>
      <c r="R88" s="653">
        <v>706</v>
      </c>
    </row>
    <row r="89" spans="14:18" x14ac:dyDescent="0.3">
      <c r="N89" s="525">
        <v>77</v>
      </c>
      <c r="O89" s="653"/>
      <c r="P89" s="653">
        <v>676.13</v>
      </c>
      <c r="Q89" s="653"/>
      <c r="R89" s="653">
        <v>714</v>
      </c>
    </row>
    <row r="90" spans="14:18" x14ac:dyDescent="0.3">
      <c r="N90" s="525">
        <v>78</v>
      </c>
      <c r="O90" s="653"/>
      <c r="P90" s="653">
        <v>681.96</v>
      </c>
      <c r="Q90" s="653"/>
      <c r="R90" s="653"/>
    </row>
    <row r="91" spans="14:18" x14ac:dyDescent="0.3">
      <c r="N91" s="525">
        <v>79</v>
      </c>
      <c r="O91" s="653"/>
      <c r="P91" s="653">
        <v>687.95</v>
      </c>
      <c r="Q91" s="653"/>
      <c r="R91" s="653"/>
    </row>
    <row r="92" spans="14:18" x14ac:dyDescent="0.3">
      <c r="N92" s="525">
        <v>80</v>
      </c>
      <c r="O92" s="653"/>
      <c r="P92" s="653">
        <v>693.72</v>
      </c>
      <c r="Q92" s="653"/>
      <c r="R92" s="653"/>
    </row>
    <row r="93" spans="14:18" x14ac:dyDescent="0.3">
      <c r="N93" s="525">
        <v>81</v>
      </c>
      <c r="O93" s="653"/>
      <c r="P93" s="653">
        <v>699.3</v>
      </c>
      <c r="Q93" s="653"/>
      <c r="R93" s="653"/>
    </row>
    <row r="94" spans="14:18" x14ac:dyDescent="0.3">
      <c r="N94" s="525">
        <v>82</v>
      </c>
      <c r="O94" s="653"/>
      <c r="P94" s="653">
        <v>704.76</v>
      </c>
      <c r="Q94" s="653"/>
      <c r="R94" s="653"/>
    </row>
    <row r="95" spans="14:18" x14ac:dyDescent="0.3">
      <c r="N95" s="525">
        <v>83</v>
      </c>
      <c r="O95" s="653"/>
      <c r="P95" s="653">
        <v>710.32</v>
      </c>
      <c r="Q95" s="653"/>
      <c r="R95" s="653"/>
    </row>
    <row r="96" spans="14:18" x14ac:dyDescent="0.3">
      <c r="N96" s="525">
        <v>84</v>
      </c>
      <c r="O96" s="653"/>
      <c r="P96" s="653">
        <v>716.3</v>
      </c>
      <c r="Q96" s="653"/>
      <c r="R96" s="653"/>
    </row>
    <row r="97" spans="14:18" x14ac:dyDescent="0.3">
      <c r="N97" s="525">
        <v>85</v>
      </c>
      <c r="O97" s="653"/>
      <c r="P97" s="653">
        <v>722.23</v>
      </c>
      <c r="Q97" s="653"/>
      <c r="R97" s="653"/>
    </row>
    <row r="98" spans="14:18" x14ac:dyDescent="0.3">
      <c r="N98" s="525">
        <v>86</v>
      </c>
      <c r="O98" s="653"/>
      <c r="P98" s="653"/>
      <c r="Q98" s="653"/>
      <c r="R98" s="653"/>
    </row>
    <row r="99" spans="14:18" x14ac:dyDescent="0.3">
      <c r="N99" s="525">
        <v>87</v>
      </c>
      <c r="O99" s="653"/>
      <c r="P99" s="653"/>
      <c r="Q99" s="653"/>
      <c r="R99" s="653"/>
    </row>
    <row r="100" spans="14:18" x14ac:dyDescent="0.3">
      <c r="N100" s="525">
        <v>88</v>
      </c>
      <c r="O100" s="653"/>
      <c r="P100" s="653"/>
      <c r="Q100" s="653"/>
      <c r="R100" s="653"/>
    </row>
    <row r="101" spans="14:18" x14ac:dyDescent="0.3">
      <c r="N101" s="525">
        <v>89</v>
      </c>
      <c r="O101" s="653"/>
      <c r="P101" s="653"/>
      <c r="Q101" s="653"/>
      <c r="R101" s="653"/>
    </row>
    <row r="102" spans="14:18" x14ac:dyDescent="0.3">
      <c r="N102" s="525">
        <v>90</v>
      </c>
      <c r="O102" s="653"/>
      <c r="P102" s="653"/>
      <c r="Q102" s="653"/>
      <c r="R102" s="653"/>
    </row>
    <row r="103" spans="14:18" x14ac:dyDescent="0.3">
      <c r="N103" s="525">
        <v>91</v>
      </c>
      <c r="O103" s="653"/>
      <c r="P103" s="653"/>
      <c r="Q103" s="653"/>
      <c r="R103" s="653"/>
    </row>
    <row r="104" spans="14:18" x14ac:dyDescent="0.3">
      <c r="N104" s="525">
        <v>92</v>
      </c>
      <c r="O104" s="653"/>
      <c r="P104" s="653"/>
      <c r="Q104" s="653"/>
      <c r="R104" s="653"/>
    </row>
    <row r="105" spans="14:18" x14ac:dyDescent="0.3">
      <c r="N105" s="525">
        <v>93</v>
      </c>
      <c r="O105" s="653"/>
      <c r="P105" s="653"/>
      <c r="Q105" s="653"/>
      <c r="R105" s="653"/>
    </row>
    <row r="106" spans="14:18" x14ac:dyDescent="0.3">
      <c r="N106" s="525">
        <v>94</v>
      </c>
      <c r="O106" s="653"/>
      <c r="P106" s="653"/>
      <c r="Q106" s="653"/>
      <c r="R106" s="653"/>
    </row>
    <row r="107" spans="14:18" x14ac:dyDescent="0.3">
      <c r="N107" s="525">
        <v>95</v>
      </c>
      <c r="O107" s="653"/>
      <c r="P107" s="653"/>
      <c r="Q107" s="653"/>
      <c r="R107" s="653"/>
    </row>
    <row r="108" spans="14:18" x14ac:dyDescent="0.3">
      <c r="N108" s="525">
        <v>96</v>
      </c>
      <c r="O108" s="653"/>
      <c r="P108" s="653"/>
      <c r="Q108" s="653"/>
      <c r="R108" s="653"/>
    </row>
    <row r="109" spans="14:18" x14ac:dyDescent="0.3">
      <c r="N109" s="525">
        <v>97</v>
      </c>
      <c r="O109" s="653"/>
      <c r="P109" s="653"/>
      <c r="Q109" s="653"/>
      <c r="R109" s="653"/>
    </row>
    <row r="110" spans="14:18" x14ac:dyDescent="0.3">
      <c r="N110" s="525">
        <v>98</v>
      </c>
      <c r="O110" s="653"/>
      <c r="P110" s="653"/>
      <c r="Q110" s="653"/>
      <c r="R110" s="653"/>
    </row>
    <row r="111" spans="14:18" x14ac:dyDescent="0.3">
      <c r="N111" s="525">
        <v>99</v>
      </c>
      <c r="O111" s="653"/>
      <c r="P111" s="653"/>
      <c r="Q111" s="653"/>
      <c r="R111" s="653"/>
    </row>
    <row r="112" spans="14:18" x14ac:dyDescent="0.3">
      <c r="N112" s="525">
        <v>100</v>
      </c>
      <c r="O112" s="653"/>
      <c r="P112" s="653"/>
      <c r="Q112" s="653"/>
      <c r="R112" s="653"/>
    </row>
  </sheetData>
  <mergeCells count="8">
    <mergeCell ref="D1:H1"/>
    <mergeCell ref="H4:K4"/>
    <mergeCell ref="E17:E29"/>
    <mergeCell ref="F17:F30"/>
    <mergeCell ref="E32:E38"/>
    <mergeCell ref="F32:F38"/>
    <mergeCell ref="E8:E13"/>
    <mergeCell ref="F8:F13"/>
  </mergeCells>
  <printOptions horizontalCentered="1"/>
  <pageMargins left="0.24" right="0.17" top="0.52" bottom="0.38" header="0.31496062992126" footer="0.16"/>
  <pageSetup paperSize="9" scale="4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20195-19AD-446C-AB9A-249E921FA9D0}">
  <dimension ref="A1:GA72"/>
  <sheetViews>
    <sheetView topLeftCell="A6" zoomScale="84" zoomScaleNormal="80" workbookViewId="0">
      <pane xSplit="3" topLeftCell="D1" activePane="topRight" state="frozen"/>
      <selection pane="topRight" activeCell="DN37" sqref="DN37"/>
    </sheetView>
  </sheetViews>
  <sheetFormatPr defaultColWidth="9.140625" defaultRowHeight="15" x14ac:dyDescent="0.25"/>
  <cols>
    <col min="1" max="1" width="10.5703125" style="10" customWidth="1"/>
    <col min="2" max="2" width="16" style="10" customWidth="1"/>
    <col min="3" max="3" width="13.28515625" style="10" customWidth="1"/>
    <col min="4" max="4" width="9.140625" style="10" customWidth="1"/>
    <col min="5" max="5" width="10.140625" style="10" customWidth="1"/>
    <col min="6" max="6" width="15.5703125" style="10" customWidth="1"/>
    <col min="7" max="7" width="13.85546875" style="10" customWidth="1"/>
    <col min="8" max="12" width="7.42578125" style="10" customWidth="1"/>
    <col min="13" max="13" width="9.5703125" style="10" customWidth="1"/>
    <col min="14" max="14" width="13.140625" style="10" customWidth="1"/>
    <col min="15" max="15" width="12.85546875" style="10" customWidth="1"/>
    <col min="16" max="16" width="11.85546875" style="10" customWidth="1"/>
    <col min="17" max="17" width="9.5703125" style="10" customWidth="1"/>
    <col min="18" max="18" width="2.85546875" style="10" customWidth="1"/>
    <col min="19" max="34" width="15.28515625" style="10" customWidth="1"/>
    <col min="35" max="40" width="7.140625" style="10" customWidth="1"/>
    <col min="41" max="41" width="7.85546875" style="10" customWidth="1"/>
    <col min="42" max="50" width="8.85546875" style="10" customWidth="1"/>
    <col min="51" max="51" width="8.28515625" style="10" customWidth="1"/>
    <col min="52" max="52" width="9.7109375" style="10" customWidth="1"/>
    <col min="53" max="54" width="9.140625" style="10"/>
    <col min="55" max="55" width="2.140625" style="10" customWidth="1"/>
    <col min="56" max="56" width="9.85546875" style="10" customWidth="1"/>
    <col min="57" max="58" width="9.140625" style="10"/>
    <col min="59" max="59" width="11.85546875" style="10" bestFit="1" customWidth="1"/>
    <col min="60" max="79" width="9.140625" style="10"/>
    <col min="80" max="80" width="2.5703125" style="10" customWidth="1"/>
    <col min="81" max="81" width="10.140625" style="10" customWidth="1"/>
    <col min="82" max="82" width="11.42578125" style="10" bestFit="1" customWidth="1"/>
    <col min="83" max="100" width="9.140625" style="10"/>
    <col min="101" max="102" width="10.85546875" style="10" customWidth="1"/>
    <col min="103" max="103" width="2.85546875" style="10" customWidth="1"/>
    <col min="104" max="104" width="9.5703125" style="10" customWidth="1"/>
    <col min="105" max="110" width="9.140625" style="10"/>
    <col min="111" max="111" width="9.28515625" style="10" customWidth="1"/>
    <col min="112" max="112" width="9.7109375" style="10" customWidth="1"/>
    <col min="113" max="113" width="9.140625" style="10"/>
    <col min="114" max="114" width="9.42578125" style="10" customWidth="1"/>
    <col min="115" max="115" width="9.140625" style="10"/>
    <col min="116" max="116" width="9.140625" style="10" customWidth="1"/>
    <col min="117" max="117" width="9.85546875" style="10" customWidth="1"/>
    <col min="118" max="119" width="9.140625" style="10"/>
    <col min="120" max="120" width="9.28515625" style="10" bestFit="1" customWidth="1"/>
    <col min="121" max="129" width="9.140625" style="10"/>
    <col min="130" max="130" width="3.140625" style="11" customWidth="1"/>
    <col min="131" max="132" width="15.5703125" style="10" customWidth="1"/>
    <col min="133" max="133" width="9.28515625" style="10" bestFit="1" customWidth="1"/>
    <col min="134" max="137" width="8.85546875" style="10" customWidth="1"/>
    <col min="138" max="138" width="20.28515625" style="10" bestFit="1" customWidth="1"/>
    <col min="139" max="139" width="17.85546875" style="10" bestFit="1" customWidth="1"/>
    <col min="140" max="140" width="21.7109375" style="10" bestFit="1" customWidth="1"/>
    <col min="141" max="141" width="22.7109375" style="10" customWidth="1"/>
    <col min="142" max="142" width="23.5703125" style="10" bestFit="1" customWidth="1"/>
    <col min="143" max="145" width="13.7109375" style="10" customWidth="1"/>
    <col min="146" max="151" width="14.42578125" style="10" customWidth="1"/>
    <col min="152" max="165" width="9.140625" style="10"/>
    <col min="166" max="166" width="10.5703125" style="10" customWidth="1"/>
    <col min="167" max="167" width="9.140625" style="10"/>
    <col min="168" max="168" width="10.42578125" style="10" customWidth="1"/>
    <col min="169" max="169" width="9.140625" style="10"/>
    <col min="170" max="177" width="15.85546875" style="10" customWidth="1"/>
    <col min="178" max="178" width="38.7109375" style="10" bestFit="1" customWidth="1"/>
    <col min="179" max="179" width="5.85546875" style="10" customWidth="1"/>
    <col min="180" max="180" width="38.140625" style="10" customWidth="1"/>
    <col min="181" max="182" width="34.28515625" style="10" customWidth="1"/>
    <col min="183" max="183" width="6.140625" style="10" customWidth="1"/>
    <col min="184" max="16384" width="9.140625" style="10"/>
  </cols>
  <sheetData>
    <row r="1" spans="1:183" ht="15.75" thickBot="1" x14ac:dyDescent="0.3"/>
    <row r="2" spans="1:183" ht="15.75" thickBot="1" x14ac:dyDescent="0.3">
      <c r="B2" s="925" t="s">
        <v>119</v>
      </c>
      <c r="C2" s="926"/>
      <c r="D2" s="927"/>
      <c r="H2" s="12"/>
      <c r="I2" s="13" t="s">
        <v>176</v>
      </c>
      <c r="J2" s="13"/>
      <c r="K2" s="13"/>
      <c r="L2" s="13"/>
      <c r="M2" s="13"/>
      <c r="N2" s="13"/>
      <c r="S2" s="13"/>
      <c r="T2" s="928" t="s">
        <v>213</v>
      </c>
      <c r="U2" s="928"/>
      <c r="V2" s="928"/>
      <c r="W2" s="929"/>
      <c r="X2" s="929"/>
      <c r="Y2" s="15" t="s">
        <v>225</v>
      </c>
      <c r="Z2" s="15"/>
      <c r="AA2" s="15"/>
      <c r="AB2" s="15"/>
      <c r="AC2" s="15"/>
      <c r="AD2" s="14"/>
      <c r="AE2" s="14"/>
      <c r="AF2" s="14"/>
      <c r="AG2" s="14"/>
      <c r="AH2" s="14"/>
    </row>
    <row r="3" spans="1:183" ht="15.75" thickBot="1" x14ac:dyDescent="0.3">
      <c r="B3" s="16" t="s">
        <v>121</v>
      </c>
      <c r="C3" s="17"/>
      <c r="D3" s="18">
        <v>14</v>
      </c>
      <c r="G3" s="10" t="s">
        <v>194</v>
      </c>
      <c r="I3" s="10">
        <v>186</v>
      </c>
      <c r="J3" s="10" t="s">
        <v>195</v>
      </c>
      <c r="M3" s="13"/>
      <c r="N3" s="13"/>
      <c r="S3" s="13"/>
      <c r="T3" s="13" t="s">
        <v>199</v>
      </c>
      <c r="U3" s="13" t="s">
        <v>200</v>
      </c>
      <c r="V3" s="13" t="s">
        <v>201</v>
      </c>
      <c r="W3" s="14"/>
      <c r="X3" s="14"/>
      <c r="Y3" s="15"/>
      <c r="Z3" s="15" t="s">
        <v>226</v>
      </c>
      <c r="AA3" s="15"/>
      <c r="AB3" s="15"/>
      <c r="AC3" s="15"/>
      <c r="AD3" s="14"/>
      <c r="AE3" s="14"/>
      <c r="AF3" s="14"/>
      <c r="AG3" s="14"/>
      <c r="AH3" s="14"/>
    </row>
    <row r="4" spans="1:183" x14ac:dyDescent="0.25">
      <c r="B4" s="930" t="s">
        <v>5</v>
      </c>
      <c r="C4" s="20" t="s">
        <v>113</v>
      </c>
      <c r="D4" s="21">
        <v>73.400000000000006</v>
      </c>
      <c r="G4" s="10" t="s">
        <v>206</v>
      </c>
      <c r="I4" s="10">
        <v>1.0569999999999999</v>
      </c>
      <c r="J4" s="10" t="s">
        <v>207</v>
      </c>
      <c r="M4" s="13"/>
      <c r="N4" s="13"/>
      <c r="S4" s="13"/>
      <c r="T4" s="13" t="s">
        <v>211</v>
      </c>
      <c r="U4" s="13" t="s">
        <v>212</v>
      </c>
      <c r="V4" s="13" t="s">
        <v>202</v>
      </c>
      <c r="W4" s="14"/>
      <c r="X4" s="14"/>
      <c r="Y4" s="15"/>
      <c r="Z4" s="15"/>
      <c r="AA4" s="15"/>
      <c r="AB4" s="15"/>
      <c r="AC4" s="15"/>
      <c r="AD4" s="14"/>
      <c r="AE4" s="14"/>
      <c r="AF4" s="14"/>
      <c r="AG4" s="14"/>
      <c r="AH4" s="14"/>
    </row>
    <row r="5" spans="1:183" x14ac:dyDescent="0.25">
      <c r="B5" s="931"/>
      <c r="C5" s="23" t="s">
        <v>114</v>
      </c>
      <c r="D5" s="24">
        <v>238.34</v>
      </c>
      <c r="G5" s="10" t="s">
        <v>210</v>
      </c>
      <c r="I5" s="10">
        <f>I3*I9*3</f>
        <v>187.488</v>
      </c>
      <c r="J5" s="10" t="s">
        <v>209</v>
      </c>
      <c r="M5" s="13"/>
      <c r="N5" s="13"/>
      <c r="S5" s="13"/>
      <c r="T5" s="25">
        <v>58.002499999999998</v>
      </c>
      <c r="U5" s="25">
        <v>68.450500000000005</v>
      </c>
      <c r="V5" s="25">
        <v>63.260599999999997</v>
      </c>
      <c r="W5" s="14"/>
      <c r="X5" s="14"/>
      <c r="Y5" s="15"/>
      <c r="Z5" s="15" t="s">
        <v>227</v>
      </c>
      <c r="AA5" s="15"/>
      <c r="AB5" s="15"/>
      <c r="AC5" s="15"/>
      <c r="AD5" s="14"/>
      <c r="AE5" s="14"/>
      <c r="AF5" s="14"/>
      <c r="AG5" s="14"/>
      <c r="AH5" s="14"/>
    </row>
    <row r="6" spans="1:183" ht="15.75" thickBot="1" x14ac:dyDescent="0.3">
      <c r="B6" s="932"/>
      <c r="C6" s="27" t="s">
        <v>115</v>
      </c>
      <c r="D6" s="28">
        <v>19.399999999999999</v>
      </c>
      <c r="G6" s="10" t="s">
        <v>208</v>
      </c>
      <c r="I6" s="10">
        <f>I5*I4</f>
        <v>198.17481599999999</v>
      </c>
      <c r="J6" s="10" t="s">
        <v>126</v>
      </c>
      <c r="M6" s="13"/>
      <c r="N6" s="13"/>
      <c r="O6" s="13"/>
      <c r="P6" s="13"/>
      <c r="Q6" s="13"/>
      <c r="R6" s="13"/>
      <c r="S6" s="13"/>
      <c r="T6" s="13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 spans="1:183" ht="15.75" thickBot="1" x14ac:dyDescent="0.3">
      <c r="B7" s="29" t="s">
        <v>112</v>
      </c>
      <c r="C7" s="30"/>
      <c r="D7" s="31">
        <v>26.05</v>
      </c>
      <c r="G7" s="10" t="s">
        <v>214</v>
      </c>
      <c r="I7" s="10">
        <v>422.8</v>
      </c>
      <c r="J7" s="10" t="s">
        <v>196</v>
      </c>
      <c r="M7" s="13"/>
      <c r="N7" s="13"/>
      <c r="O7" s="13"/>
      <c r="P7" s="13"/>
      <c r="Q7" s="13"/>
      <c r="R7" s="13"/>
      <c r="S7" s="13"/>
      <c r="T7" s="13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183" ht="15.75" thickBot="1" x14ac:dyDescent="0.3">
      <c r="A8" s="32"/>
      <c r="B8" s="29" t="s">
        <v>185</v>
      </c>
      <c r="C8" s="33"/>
      <c r="D8" s="32">
        <v>21.02</v>
      </c>
      <c r="G8" s="10" t="s">
        <v>197</v>
      </c>
      <c r="I8" s="10">
        <f>2550/14.5</f>
        <v>175.86206896551724</v>
      </c>
      <c r="J8" s="10" t="s">
        <v>198</v>
      </c>
      <c r="N8" s="13"/>
      <c r="O8" s="13"/>
      <c r="P8" s="13"/>
      <c r="Q8" s="13"/>
      <c r="R8" s="13"/>
      <c r="S8" s="13"/>
      <c r="T8" s="13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183" ht="15.75" thickBot="1" x14ac:dyDescent="0.3">
      <c r="A9" s="32"/>
      <c r="B9" s="29" t="s">
        <v>186</v>
      </c>
      <c r="C9" s="30"/>
      <c r="D9" s="31">
        <v>12.86</v>
      </c>
      <c r="G9" s="10" t="s">
        <v>203</v>
      </c>
      <c r="I9" s="10">
        <v>0.33600000000000002</v>
      </c>
      <c r="J9" s="10" t="s">
        <v>205</v>
      </c>
      <c r="M9" s="13"/>
      <c r="N9" s="13"/>
      <c r="O9" s="13"/>
      <c r="P9" s="13"/>
      <c r="Q9" s="13"/>
      <c r="R9" s="13"/>
      <c r="S9" s="13"/>
      <c r="T9" s="13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183" x14ac:dyDescent="0.25">
      <c r="B10" s="931" t="s">
        <v>120</v>
      </c>
      <c r="C10" s="34" t="s">
        <v>111</v>
      </c>
      <c r="D10" s="35">
        <v>5.9859999999999998</v>
      </c>
      <c r="G10" s="10" t="s">
        <v>204</v>
      </c>
      <c r="I10" s="10">
        <f>I9/1.46</f>
        <v>0.23013698630136989</v>
      </c>
      <c r="J10" s="10" t="s">
        <v>205</v>
      </c>
      <c r="M10" s="14"/>
      <c r="N10" s="14"/>
      <c r="O10" s="14"/>
      <c r="P10" s="14"/>
      <c r="Q10" s="14"/>
      <c r="R10" s="14"/>
      <c r="S10" s="14"/>
      <c r="T10" s="14"/>
      <c r="U10" s="929"/>
      <c r="V10" s="929"/>
      <c r="W10" s="929"/>
      <c r="X10" s="929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183" ht="26.25" x14ac:dyDescent="0.25">
      <c r="B11" s="931"/>
      <c r="C11" s="36" t="s">
        <v>110</v>
      </c>
      <c r="D11" s="37">
        <v>0.45190000000000002</v>
      </c>
      <c r="G11" s="13"/>
      <c r="H11" s="13"/>
      <c r="I11" s="13"/>
      <c r="J11" s="13"/>
      <c r="K11" s="13"/>
      <c r="L11" s="13"/>
      <c r="M11" s="14"/>
      <c r="N11" s="14"/>
      <c r="O11" s="14"/>
      <c r="P11" s="14"/>
      <c r="Q11" s="14"/>
      <c r="R11" s="14"/>
      <c r="S11" s="933" t="s">
        <v>284</v>
      </c>
      <c r="T11" s="934"/>
      <c r="U11" s="934"/>
      <c r="V11" s="934"/>
      <c r="W11" s="934"/>
      <c r="X11" s="934"/>
      <c r="Y11" s="934"/>
      <c r="Z11" s="934"/>
      <c r="AA11" s="934"/>
      <c r="AB11" s="934"/>
      <c r="AC11" s="934"/>
      <c r="AD11" s="934"/>
      <c r="AE11" s="934"/>
      <c r="AF11" s="934"/>
      <c r="AG11" s="934"/>
      <c r="AH11" s="934"/>
      <c r="AI11" s="934"/>
      <c r="AJ11" s="934"/>
      <c r="AK11" s="934"/>
      <c r="AL11" s="934"/>
      <c r="AM11" s="934"/>
      <c r="AN11" s="934"/>
      <c r="AO11" s="934"/>
      <c r="AP11" s="934"/>
      <c r="AQ11" s="934"/>
      <c r="AR11" s="934"/>
      <c r="AS11" s="934"/>
      <c r="AT11" s="934"/>
      <c r="AU11" s="934"/>
      <c r="AV11" s="934"/>
      <c r="AW11" s="934"/>
      <c r="AX11" s="934"/>
      <c r="AY11" s="934"/>
      <c r="AZ11" s="934"/>
      <c r="BA11" s="934"/>
      <c r="BB11" s="934"/>
      <c r="BC11" s="934"/>
      <c r="BD11" s="934"/>
      <c r="BE11" s="934"/>
      <c r="BF11" s="934"/>
      <c r="BG11" s="934"/>
      <c r="BH11" s="934"/>
      <c r="BI11" s="934"/>
      <c r="BJ11" s="934"/>
      <c r="BK11" s="934"/>
      <c r="BL11" s="934"/>
      <c r="BM11" s="934"/>
      <c r="BN11" s="934"/>
      <c r="BO11" s="934"/>
      <c r="BP11" s="934"/>
      <c r="BQ11" s="934"/>
      <c r="BR11" s="934"/>
      <c r="BS11" s="934"/>
      <c r="BT11" s="934"/>
      <c r="BU11" s="934"/>
      <c r="BV11" s="934"/>
      <c r="BW11" s="934"/>
      <c r="BX11" s="934"/>
      <c r="BY11" s="934"/>
      <c r="BZ11" s="934"/>
      <c r="CA11" s="934"/>
      <c r="CB11" s="934"/>
      <c r="CC11" s="934"/>
      <c r="CD11" s="934"/>
      <c r="CE11" s="934"/>
      <c r="CF11" s="934"/>
      <c r="CG11" s="934"/>
      <c r="CH11" s="934"/>
      <c r="CI11" s="934"/>
      <c r="CJ11" s="934"/>
      <c r="CK11" s="934"/>
      <c r="CL11" s="934"/>
      <c r="CM11" s="934"/>
      <c r="CN11" s="934"/>
      <c r="CO11" s="934"/>
      <c r="CP11" s="934"/>
      <c r="CQ11" s="934"/>
      <c r="CR11" s="934"/>
      <c r="CS11" s="934"/>
      <c r="CT11" s="934"/>
      <c r="CU11" s="934"/>
      <c r="CV11" s="934"/>
      <c r="CW11" s="934"/>
      <c r="CX11" s="934"/>
      <c r="CY11" s="934"/>
      <c r="CZ11" s="934"/>
      <c r="DA11" s="934"/>
      <c r="DB11" s="934"/>
      <c r="DC11" s="934"/>
      <c r="DD11" s="934"/>
      <c r="DE11" s="934"/>
      <c r="DF11" s="934"/>
      <c r="DG11" s="934"/>
      <c r="DH11" s="934"/>
      <c r="DI11" s="934"/>
      <c r="DJ11" s="934"/>
      <c r="DK11" s="934"/>
      <c r="DL11" s="934"/>
      <c r="DM11" s="934"/>
      <c r="DN11" s="934"/>
      <c r="DO11" s="934"/>
      <c r="DP11" s="934"/>
      <c r="DQ11" s="934"/>
      <c r="DR11" s="934"/>
      <c r="DS11" s="934"/>
      <c r="DT11" s="38"/>
      <c r="DU11" s="38"/>
      <c r="DV11" s="38"/>
      <c r="DW11" s="38"/>
      <c r="DX11" s="38"/>
      <c r="DY11" s="38"/>
      <c r="DZ11" s="39"/>
    </row>
    <row r="12" spans="1:183" ht="26.25" x14ac:dyDescent="0.25">
      <c r="B12" s="40" t="s">
        <v>285</v>
      </c>
      <c r="C12" s="23"/>
      <c r="D12" s="24">
        <v>83.87</v>
      </c>
      <c r="G12" s="13"/>
      <c r="H12" s="13"/>
      <c r="I12" s="13"/>
      <c r="J12" s="13"/>
      <c r="K12" s="13"/>
      <c r="L12" s="13"/>
      <c r="M12" s="14"/>
      <c r="N12" s="14"/>
      <c r="O12" s="14"/>
      <c r="P12" s="14"/>
      <c r="Q12" s="14"/>
      <c r="R12" s="14"/>
      <c r="S12" s="933"/>
      <c r="T12" s="934"/>
      <c r="U12" s="934"/>
      <c r="V12" s="934"/>
      <c r="W12" s="934"/>
      <c r="X12" s="934"/>
      <c r="Y12" s="934"/>
      <c r="Z12" s="934"/>
      <c r="AA12" s="934"/>
      <c r="AB12" s="934"/>
      <c r="AC12" s="934"/>
      <c r="AD12" s="934"/>
      <c r="AE12" s="934"/>
      <c r="AF12" s="934"/>
      <c r="AG12" s="934"/>
      <c r="AH12" s="934"/>
      <c r="AI12" s="934"/>
      <c r="AJ12" s="934"/>
      <c r="AK12" s="934"/>
      <c r="AL12" s="934"/>
      <c r="AM12" s="934"/>
      <c r="AN12" s="934"/>
      <c r="AO12" s="934"/>
      <c r="AP12" s="934"/>
      <c r="AQ12" s="934"/>
      <c r="AR12" s="934"/>
      <c r="AS12" s="934"/>
      <c r="AT12" s="934"/>
      <c r="AU12" s="934"/>
      <c r="AV12" s="934"/>
      <c r="AW12" s="934"/>
      <c r="AX12" s="934"/>
      <c r="AY12" s="934"/>
      <c r="AZ12" s="934"/>
      <c r="BA12" s="934"/>
      <c r="BB12" s="934"/>
      <c r="BC12" s="934"/>
      <c r="BD12" s="934"/>
      <c r="BE12" s="934"/>
      <c r="BF12" s="934"/>
      <c r="BG12" s="934"/>
      <c r="BH12" s="934"/>
      <c r="BI12" s="934"/>
      <c r="BJ12" s="934"/>
      <c r="BK12" s="934"/>
      <c r="BL12" s="934"/>
      <c r="BM12" s="934"/>
      <c r="BN12" s="934"/>
      <c r="BO12" s="934"/>
      <c r="BP12" s="934"/>
      <c r="BQ12" s="934"/>
      <c r="BR12" s="934"/>
      <c r="BS12" s="934"/>
      <c r="BT12" s="934"/>
      <c r="BU12" s="934"/>
      <c r="BV12" s="934"/>
      <c r="BW12" s="934"/>
      <c r="BX12" s="934"/>
      <c r="BY12" s="934"/>
      <c r="BZ12" s="934"/>
      <c r="CA12" s="934"/>
      <c r="CB12" s="934"/>
      <c r="CC12" s="934"/>
      <c r="CD12" s="934"/>
      <c r="CE12" s="934"/>
      <c r="CF12" s="934"/>
      <c r="CG12" s="934"/>
      <c r="CH12" s="934"/>
      <c r="CI12" s="934"/>
      <c r="CJ12" s="934"/>
      <c r="CK12" s="934"/>
      <c r="CL12" s="934"/>
      <c r="CM12" s="934"/>
      <c r="CN12" s="934"/>
      <c r="CO12" s="934"/>
      <c r="CP12" s="934"/>
      <c r="CQ12" s="934"/>
      <c r="CR12" s="934"/>
      <c r="CS12" s="934"/>
      <c r="CT12" s="934"/>
      <c r="CU12" s="934"/>
      <c r="CV12" s="934"/>
      <c r="CW12" s="934"/>
      <c r="CX12" s="934"/>
      <c r="CY12" s="934"/>
      <c r="CZ12" s="934"/>
      <c r="DA12" s="934"/>
      <c r="DB12" s="934"/>
      <c r="DC12" s="934"/>
      <c r="DD12" s="934"/>
      <c r="DE12" s="934"/>
      <c r="DF12" s="934"/>
      <c r="DG12" s="934"/>
      <c r="DH12" s="934"/>
      <c r="DI12" s="934"/>
      <c r="DJ12" s="934"/>
      <c r="DK12" s="934"/>
      <c r="DL12" s="934"/>
      <c r="DM12" s="934"/>
      <c r="DN12" s="934"/>
      <c r="DO12" s="934"/>
      <c r="DP12" s="934"/>
      <c r="DQ12" s="934"/>
      <c r="DR12" s="934"/>
      <c r="DS12" s="934"/>
      <c r="DT12" s="38"/>
      <c r="DU12" s="38"/>
      <c r="DV12" s="38"/>
      <c r="DW12" s="38"/>
      <c r="DX12" s="38"/>
      <c r="DY12" s="38"/>
      <c r="DZ12" s="39"/>
    </row>
    <row r="13" spans="1:183" ht="27" thickBot="1" x14ac:dyDescent="0.3">
      <c r="B13" s="41" t="s">
        <v>286</v>
      </c>
      <c r="C13" s="27"/>
      <c r="D13" s="28">
        <v>9.73</v>
      </c>
      <c r="G13" s="13"/>
      <c r="H13" s="13"/>
      <c r="I13" s="13"/>
      <c r="J13" s="13"/>
      <c r="K13" s="13"/>
      <c r="L13" s="13"/>
      <c r="M13" s="14"/>
      <c r="N13" s="14"/>
      <c r="O13" s="14"/>
      <c r="P13" s="14"/>
      <c r="Q13" s="14"/>
      <c r="R13" s="14"/>
      <c r="S13" s="933"/>
      <c r="T13" s="934"/>
      <c r="U13" s="934"/>
      <c r="V13" s="934"/>
      <c r="W13" s="934"/>
      <c r="X13" s="934"/>
      <c r="Y13" s="934"/>
      <c r="Z13" s="934"/>
      <c r="AA13" s="934"/>
      <c r="AB13" s="934"/>
      <c r="AC13" s="934"/>
      <c r="AD13" s="934"/>
      <c r="AE13" s="934"/>
      <c r="AF13" s="934"/>
      <c r="AG13" s="934"/>
      <c r="AH13" s="934"/>
      <c r="AI13" s="934"/>
      <c r="AJ13" s="934"/>
      <c r="AK13" s="934"/>
      <c r="AL13" s="934"/>
      <c r="AM13" s="934"/>
      <c r="AN13" s="934"/>
      <c r="AO13" s="934"/>
      <c r="AP13" s="934"/>
      <c r="AQ13" s="934"/>
      <c r="AR13" s="934"/>
      <c r="AS13" s="934"/>
      <c r="AT13" s="934"/>
      <c r="AU13" s="934"/>
      <c r="AV13" s="934"/>
      <c r="AW13" s="934"/>
      <c r="AX13" s="934"/>
      <c r="AY13" s="934"/>
      <c r="AZ13" s="934"/>
      <c r="BA13" s="934"/>
      <c r="BB13" s="934"/>
      <c r="BC13" s="934"/>
      <c r="BD13" s="934"/>
      <c r="BE13" s="934"/>
      <c r="BF13" s="934"/>
      <c r="BG13" s="934"/>
      <c r="BH13" s="934"/>
      <c r="BI13" s="934"/>
      <c r="BJ13" s="934"/>
      <c r="BK13" s="934"/>
      <c r="BL13" s="934"/>
      <c r="BM13" s="934"/>
      <c r="BN13" s="934"/>
      <c r="BO13" s="934"/>
      <c r="BP13" s="934"/>
      <c r="BQ13" s="934"/>
      <c r="BR13" s="934"/>
      <c r="BS13" s="934"/>
      <c r="BT13" s="934"/>
      <c r="BU13" s="934"/>
      <c r="BV13" s="934"/>
      <c r="BW13" s="934"/>
      <c r="BX13" s="934"/>
      <c r="BY13" s="934"/>
      <c r="BZ13" s="934"/>
      <c r="CA13" s="934"/>
      <c r="CB13" s="934"/>
      <c r="CC13" s="934"/>
      <c r="CD13" s="934"/>
      <c r="CE13" s="934"/>
      <c r="CF13" s="934"/>
      <c r="CG13" s="934"/>
      <c r="CH13" s="934"/>
      <c r="CI13" s="934"/>
      <c r="CJ13" s="934"/>
      <c r="CK13" s="934"/>
      <c r="CL13" s="934"/>
      <c r="CM13" s="934"/>
      <c r="CN13" s="934"/>
      <c r="CO13" s="934"/>
      <c r="CP13" s="934"/>
      <c r="CQ13" s="934"/>
      <c r="CR13" s="934"/>
      <c r="CS13" s="934"/>
      <c r="CT13" s="934"/>
      <c r="CU13" s="934"/>
      <c r="CV13" s="934"/>
      <c r="CW13" s="934"/>
      <c r="CX13" s="934"/>
      <c r="CY13" s="934"/>
      <c r="CZ13" s="934"/>
      <c r="DA13" s="934"/>
      <c r="DB13" s="934"/>
      <c r="DC13" s="934"/>
      <c r="DD13" s="934"/>
      <c r="DE13" s="934"/>
      <c r="DF13" s="934"/>
      <c r="DG13" s="934"/>
      <c r="DH13" s="934"/>
      <c r="DI13" s="934"/>
      <c r="DJ13" s="934"/>
      <c r="DK13" s="934"/>
      <c r="DL13" s="934"/>
      <c r="DM13" s="934"/>
      <c r="DN13" s="934"/>
      <c r="DO13" s="934"/>
      <c r="DP13" s="934"/>
      <c r="DQ13" s="934"/>
      <c r="DR13" s="934"/>
      <c r="DS13" s="934"/>
      <c r="DT13" s="38"/>
      <c r="DU13" s="38"/>
      <c r="DV13" s="38"/>
      <c r="DW13" s="38"/>
      <c r="DX13" s="38"/>
      <c r="DY13" s="38"/>
      <c r="DZ13" s="39"/>
    </row>
    <row r="14" spans="1:183" ht="44.1" customHeight="1" thickBot="1" x14ac:dyDescent="0.3">
      <c r="B14" s="42"/>
      <c r="D14" s="913" t="s">
        <v>125</v>
      </c>
      <c r="E14" s="914"/>
      <c r="F14" s="914"/>
      <c r="G14" s="914"/>
      <c r="H14" s="914"/>
      <c r="I14" s="914"/>
      <c r="J14" s="914"/>
      <c r="K14" s="914"/>
      <c r="L14" s="914"/>
      <c r="M14" s="914"/>
      <c r="N14" s="914"/>
      <c r="O14" s="914"/>
      <c r="P14" s="914"/>
      <c r="Q14" s="914"/>
      <c r="R14" s="43"/>
      <c r="S14" s="915" t="s">
        <v>8</v>
      </c>
      <c r="T14" s="916"/>
      <c r="U14" s="916"/>
      <c r="V14" s="916"/>
      <c r="W14" s="916"/>
      <c r="X14" s="916"/>
      <c r="Y14" s="916"/>
      <c r="Z14" s="916"/>
      <c r="AA14" s="916"/>
      <c r="AB14" s="916"/>
      <c r="AC14" s="916"/>
      <c r="AD14" s="916"/>
      <c r="AE14" s="916"/>
      <c r="AF14" s="916"/>
      <c r="AG14" s="916"/>
      <c r="AH14" s="916"/>
      <c r="AI14" s="916"/>
      <c r="AJ14" s="916"/>
      <c r="AK14" s="916"/>
      <c r="AL14" s="916"/>
      <c r="AM14" s="916"/>
      <c r="AN14" s="916"/>
      <c r="AO14" s="916"/>
      <c r="AP14" s="916"/>
      <c r="AQ14" s="916"/>
      <c r="AR14" s="916"/>
      <c r="AS14" s="916"/>
      <c r="AT14" s="916"/>
      <c r="AU14" s="916"/>
      <c r="AV14" s="916"/>
      <c r="AW14" s="916"/>
      <c r="AX14" s="916"/>
      <c r="AY14" s="916"/>
      <c r="AZ14" s="916"/>
      <c r="BA14" s="916"/>
      <c r="BB14" s="917"/>
      <c r="BC14" s="44"/>
      <c r="BD14" s="918" t="s">
        <v>1</v>
      </c>
      <c r="BE14" s="918"/>
      <c r="BF14" s="918"/>
      <c r="BG14" s="918"/>
      <c r="BH14" s="918"/>
      <c r="BI14" s="918"/>
      <c r="BJ14" s="918"/>
      <c r="BK14" s="918"/>
      <c r="BL14" s="918"/>
      <c r="BM14" s="918"/>
      <c r="BN14" s="918"/>
      <c r="BO14" s="918"/>
      <c r="BP14" s="918"/>
      <c r="BQ14" s="918"/>
      <c r="BR14" s="918"/>
      <c r="BS14" s="918"/>
      <c r="BT14" s="918"/>
      <c r="BU14" s="918"/>
      <c r="BV14" s="918"/>
      <c r="BW14" s="918"/>
      <c r="BX14" s="918"/>
      <c r="BY14" s="918"/>
      <c r="BZ14" s="918"/>
      <c r="CA14" s="918"/>
      <c r="CB14" s="45"/>
      <c r="CC14" s="919" t="s">
        <v>3</v>
      </c>
      <c r="CD14" s="920"/>
      <c r="CE14" s="920"/>
      <c r="CF14" s="920"/>
      <c r="CG14" s="920"/>
      <c r="CH14" s="920"/>
      <c r="CI14" s="920"/>
      <c r="CJ14" s="920"/>
      <c r="CK14" s="920"/>
      <c r="CL14" s="920"/>
      <c r="CM14" s="920"/>
      <c r="CN14" s="920"/>
      <c r="CO14" s="920"/>
      <c r="CP14" s="920"/>
      <c r="CQ14" s="920"/>
      <c r="CR14" s="920"/>
      <c r="CS14" s="920"/>
      <c r="CT14" s="920"/>
      <c r="CU14" s="920"/>
      <c r="CV14" s="920"/>
      <c r="CW14" s="920"/>
      <c r="CX14" s="920"/>
      <c r="CY14" s="44"/>
      <c r="CZ14" s="907" t="s">
        <v>4</v>
      </c>
      <c r="DA14" s="908"/>
      <c r="DB14" s="908"/>
      <c r="DC14" s="908"/>
      <c r="DD14" s="908"/>
      <c r="DE14" s="908"/>
      <c r="DF14" s="908"/>
      <c r="DG14" s="908"/>
      <c r="DH14" s="908"/>
      <c r="DI14" s="908"/>
      <c r="DJ14" s="908"/>
      <c r="DK14" s="908"/>
      <c r="DL14" s="908"/>
      <c r="DM14" s="908"/>
      <c r="DN14" s="908"/>
      <c r="DO14" s="908"/>
      <c r="DP14" s="908"/>
      <c r="DQ14" s="908"/>
      <c r="DR14" s="908"/>
      <c r="DS14" s="908"/>
      <c r="DT14" s="46"/>
      <c r="DU14" s="46"/>
      <c r="DV14" s="46"/>
      <c r="DW14" s="46"/>
      <c r="DX14" s="46"/>
      <c r="DY14" s="46"/>
      <c r="DZ14" s="47"/>
      <c r="EA14" s="48"/>
      <c r="EB14" s="48"/>
      <c r="EC14" s="48"/>
      <c r="ED14" s="48"/>
      <c r="EE14" s="48"/>
      <c r="EF14" s="48"/>
      <c r="EG14" s="48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50"/>
      <c r="FY14" s="48"/>
      <c r="FZ14" s="48"/>
      <c r="GA14" s="48"/>
    </row>
    <row r="15" spans="1:183" ht="43.5" customHeight="1" thickBot="1" x14ac:dyDescent="0.3">
      <c r="B15" s="51"/>
      <c r="C15" s="52"/>
      <c r="D15" s="884" t="s">
        <v>141</v>
      </c>
      <c r="E15" s="884" t="s">
        <v>118</v>
      </c>
      <c r="F15" s="860" t="s">
        <v>165</v>
      </c>
      <c r="G15" s="909" t="s">
        <v>167</v>
      </c>
      <c r="H15" s="911" t="s">
        <v>116</v>
      </c>
      <c r="I15" s="912"/>
      <c r="J15" s="881"/>
      <c r="K15" s="56" t="s">
        <v>287</v>
      </c>
      <c r="L15" s="57" t="s">
        <v>288</v>
      </c>
      <c r="M15" s="921" t="s">
        <v>127</v>
      </c>
      <c r="N15" s="53" t="s">
        <v>183</v>
      </c>
      <c r="O15" s="57" t="s">
        <v>182</v>
      </c>
      <c r="P15" s="923" t="s">
        <v>120</v>
      </c>
      <c r="Q15" s="924"/>
      <c r="R15" s="58"/>
      <c r="S15" s="905" t="s">
        <v>140</v>
      </c>
      <c r="T15" s="860" t="s">
        <v>131</v>
      </c>
      <c r="U15" s="898" t="s">
        <v>138</v>
      </c>
      <c r="V15" s="893"/>
      <c r="W15" s="893"/>
      <c r="X15" s="893"/>
      <c r="Y15" s="893"/>
      <c r="Z15" s="893"/>
      <c r="AA15" s="899"/>
      <c r="AB15" s="896" t="s">
        <v>139</v>
      </c>
      <c r="AC15" s="895"/>
      <c r="AD15" s="895"/>
      <c r="AE15" s="895"/>
      <c r="AF15" s="895"/>
      <c r="AG15" s="895"/>
      <c r="AH15" s="897"/>
      <c r="AI15" s="898" t="s">
        <v>132</v>
      </c>
      <c r="AJ15" s="893"/>
      <c r="AK15" s="899"/>
      <c r="AL15" s="896" t="s">
        <v>135</v>
      </c>
      <c r="AM15" s="895"/>
      <c r="AN15" s="897"/>
      <c r="AO15" s="882" t="s">
        <v>112</v>
      </c>
      <c r="AP15" s="860" t="s">
        <v>136</v>
      </c>
      <c r="AQ15" s="59" t="s">
        <v>287</v>
      </c>
      <c r="AR15" s="59" t="s">
        <v>288</v>
      </c>
      <c r="AS15" s="59" t="s">
        <v>287</v>
      </c>
      <c r="AT15" s="59" t="s">
        <v>288</v>
      </c>
      <c r="AU15" s="900" t="s">
        <v>183</v>
      </c>
      <c r="AV15" s="901"/>
      <c r="AW15" s="900" t="s">
        <v>182</v>
      </c>
      <c r="AX15" s="901"/>
      <c r="AY15" s="902" t="s">
        <v>289</v>
      </c>
      <c r="AZ15" s="880"/>
      <c r="BA15" s="903" t="s">
        <v>137</v>
      </c>
      <c r="BB15" s="904"/>
      <c r="BC15" s="62"/>
      <c r="BD15" s="905" t="s">
        <v>142</v>
      </c>
      <c r="BE15" s="860" t="s">
        <v>143</v>
      </c>
      <c r="BF15" s="898" t="s">
        <v>173</v>
      </c>
      <c r="BG15" s="893"/>
      <c r="BH15" s="893"/>
      <c r="BI15" s="893"/>
      <c r="BJ15" s="893"/>
      <c r="BK15" s="899"/>
      <c r="BL15" s="899"/>
      <c r="BM15" s="896" t="s">
        <v>151</v>
      </c>
      <c r="BN15" s="895"/>
      <c r="BO15" s="895"/>
      <c r="BP15" s="895"/>
      <c r="BQ15" s="895"/>
      <c r="BR15" s="895"/>
      <c r="BS15" s="897"/>
      <c r="BT15" s="59" t="s">
        <v>287</v>
      </c>
      <c r="BU15" s="57" t="s">
        <v>288</v>
      </c>
      <c r="BV15" s="56" t="s">
        <v>287</v>
      </c>
      <c r="BW15" s="57" t="s">
        <v>288</v>
      </c>
      <c r="BX15" s="879" t="s">
        <v>120</v>
      </c>
      <c r="BY15" s="880"/>
      <c r="BZ15" s="879" t="s">
        <v>137</v>
      </c>
      <c r="CA15" s="881"/>
      <c r="CB15" s="64"/>
      <c r="CC15" s="882" t="s">
        <v>174</v>
      </c>
      <c r="CD15" s="884" t="s">
        <v>144</v>
      </c>
      <c r="CE15" s="886" t="s">
        <v>192</v>
      </c>
      <c r="CF15" s="887"/>
      <c r="CG15" s="887"/>
      <c r="CH15" s="887"/>
      <c r="CI15" s="887"/>
      <c r="CJ15" s="887"/>
      <c r="CK15" s="888"/>
      <c r="CL15" s="866" t="s">
        <v>193</v>
      </c>
      <c r="CM15" s="867"/>
      <c r="CN15" s="867"/>
      <c r="CO15" s="867"/>
      <c r="CP15" s="867"/>
      <c r="CQ15" s="867"/>
      <c r="CR15" s="867"/>
      <c r="CS15" s="867"/>
      <c r="CT15" s="867"/>
      <c r="CU15" s="867"/>
      <c r="CV15" s="867"/>
      <c r="CW15" s="867"/>
      <c r="CX15" s="867"/>
      <c r="CY15" s="66"/>
      <c r="CZ15" s="877" t="s">
        <v>175</v>
      </c>
      <c r="DA15" s="884" t="s">
        <v>158</v>
      </c>
      <c r="DB15" s="889" t="s">
        <v>290</v>
      </c>
      <c r="DC15" s="890"/>
      <c r="DD15" s="890"/>
      <c r="DE15" s="890"/>
      <c r="DF15" s="890"/>
      <c r="DG15" s="891"/>
      <c r="DH15" s="892" t="s">
        <v>291</v>
      </c>
      <c r="DI15" s="893"/>
      <c r="DJ15" s="893"/>
      <c r="DK15" s="893"/>
      <c r="DL15" s="893"/>
      <c r="DM15" s="894"/>
      <c r="DN15" s="895" t="s">
        <v>292</v>
      </c>
      <c r="DO15" s="895"/>
      <c r="DP15" s="895"/>
      <c r="DQ15" s="895"/>
      <c r="DR15" s="895"/>
      <c r="DS15" s="895"/>
      <c r="DT15" s="60"/>
      <c r="DU15" s="60"/>
      <c r="DV15" s="60"/>
      <c r="DW15" s="60"/>
      <c r="DX15" s="60"/>
      <c r="DY15" s="60"/>
      <c r="DZ15" s="67"/>
      <c r="EA15" s="877" t="s">
        <v>166</v>
      </c>
      <c r="EB15" s="59"/>
      <c r="EC15" s="866" t="s">
        <v>170</v>
      </c>
      <c r="ED15" s="867"/>
      <c r="EE15" s="867"/>
      <c r="EF15" s="867"/>
      <c r="EG15" s="867"/>
      <c r="EH15" s="867"/>
      <c r="EI15" s="868"/>
      <c r="EJ15" s="869" t="s">
        <v>221</v>
      </c>
      <c r="EK15" s="871" t="s">
        <v>293</v>
      </c>
      <c r="EL15" s="871" t="s">
        <v>294</v>
      </c>
      <c r="EM15" s="874" t="s">
        <v>222</v>
      </c>
      <c r="EN15" s="874"/>
      <c r="EO15" s="875"/>
      <c r="EP15" s="860" t="s">
        <v>171</v>
      </c>
      <c r="EQ15" s="860" t="s">
        <v>172</v>
      </c>
      <c r="ER15" s="862" t="s">
        <v>223</v>
      </c>
      <c r="ES15" s="863"/>
      <c r="ET15" s="863"/>
      <c r="EU15" s="864"/>
      <c r="EV15" s="864"/>
      <c r="EW15" s="864"/>
      <c r="EX15" s="864"/>
      <c r="EY15" s="864"/>
      <c r="EZ15" s="864"/>
      <c r="FA15" s="864"/>
      <c r="FB15" s="864"/>
      <c r="FC15" s="864"/>
      <c r="FD15" s="864"/>
      <c r="FE15" s="864"/>
      <c r="FF15" s="864"/>
      <c r="FG15" s="864"/>
      <c r="FH15" s="864"/>
      <c r="FI15" s="864"/>
      <c r="FJ15" s="864"/>
      <c r="FK15" s="864"/>
      <c r="FL15" s="864"/>
      <c r="FM15" s="864"/>
      <c r="FN15" s="864"/>
      <c r="FO15" s="864"/>
      <c r="FP15" s="864"/>
      <c r="FQ15" s="864"/>
      <c r="FR15" s="864"/>
      <c r="FS15" s="864"/>
      <c r="FT15" s="864"/>
      <c r="FU15" s="865"/>
      <c r="FV15" s="53" t="s">
        <v>295</v>
      </c>
      <c r="FW15" s="56"/>
      <c r="FX15" s="19"/>
      <c r="FY15" s="56" t="s">
        <v>296</v>
      </c>
      <c r="FZ15" s="74" t="s">
        <v>224</v>
      </c>
      <c r="GA15" s="75"/>
    </row>
    <row r="16" spans="1:183" ht="45" customHeight="1" thickBot="1" x14ac:dyDescent="0.3">
      <c r="B16" s="54" t="s">
        <v>0</v>
      </c>
      <c r="C16" s="61" t="s">
        <v>117</v>
      </c>
      <c r="D16" s="885"/>
      <c r="E16" s="885"/>
      <c r="F16" s="861"/>
      <c r="G16" s="910"/>
      <c r="H16" s="77" t="s">
        <v>122</v>
      </c>
      <c r="I16" s="78" t="s">
        <v>123</v>
      </c>
      <c r="J16" s="78" t="s">
        <v>124</v>
      </c>
      <c r="K16" s="78" t="s">
        <v>126</v>
      </c>
      <c r="L16" s="79" t="s">
        <v>126</v>
      </c>
      <c r="M16" s="922"/>
      <c r="N16" s="76" t="s">
        <v>126</v>
      </c>
      <c r="O16" s="80" t="s">
        <v>126</v>
      </c>
      <c r="P16" s="81" t="s">
        <v>128</v>
      </c>
      <c r="Q16" s="82" t="s">
        <v>129</v>
      </c>
      <c r="R16" s="83"/>
      <c r="S16" s="906"/>
      <c r="T16" s="861"/>
      <c r="U16" s="85" t="s">
        <v>187</v>
      </c>
      <c r="V16" s="86" t="s">
        <v>188</v>
      </c>
      <c r="W16" s="86" t="s">
        <v>189</v>
      </c>
      <c r="X16" s="86" t="s">
        <v>190</v>
      </c>
      <c r="Y16" s="86" t="s">
        <v>191</v>
      </c>
      <c r="Z16" s="86" t="s">
        <v>133</v>
      </c>
      <c r="AA16" s="87" t="s">
        <v>134</v>
      </c>
      <c r="AB16" s="88" t="s">
        <v>187</v>
      </c>
      <c r="AC16" s="86" t="s">
        <v>188</v>
      </c>
      <c r="AD16" s="86" t="s">
        <v>189</v>
      </c>
      <c r="AE16" s="86" t="s">
        <v>190</v>
      </c>
      <c r="AF16" s="86" t="s">
        <v>191</v>
      </c>
      <c r="AG16" s="86" t="s">
        <v>133</v>
      </c>
      <c r="AH16" s="89" t="s">
        <v>134</v>
      </c>
      <c r="AI16" s="90" t="s">
        <v>113</v>
      </c>
      <c r="AJ16" s="91" t="s">
        <v>114</v>
      </c>
      <c r="AK16" s="92" t="s">
        <v>115</v>
      </c>
      <c r="AL16" s="93" t="s">
        <v>122</v>
      </c>
      <c r="AM16" s="91" t="s">
        <v>123</v>
      </c>
      <c r="AN16" s="94" t="s">
        <v>124</v>
      </c>
      <c r="AO16" s="883"/>
      <c r="AP16" s="861"/>
      <c r="AQ16" s="84"/>
      <c r="AR16" s="84"/>
      <c r="AS16" s="84" t="s">
        <v>126</v>
      </c>
      <c r="AT16" s="84" t="s">
        <v>126</v>
      </c>
      <c r="AU16" s="95" t="s">
        <v>184</v>
      </c>
      <c r="AV16" s="49" t="s">
        <v>241</v>
      </c>
      <c r="AW16" s="95" t="s">
        <v>184</v>
      </c>
      <c r="AX16" s="49" t="s">
        <v>241</v>
      </c>
      <c r="AY16" s="96" t="s">
        <v>111</v>
      </c>
      <c r="AZ16" s="97" t="s">
        <v>110</v>
      </c>
      <c r="BA16" s="96" t="s">
        <v>128</v>
      </c>
      <c r="BB16" s="97" t="s">
        <v>129</v>
      </c>
      <c r="BC16" s="98"/>
      <c r="BD16" s="906"/>
      <c r="BE16" s="861"/>
      <c r="BF16" s="85" t="s">
        <v>187</v>
      </c>
      <c r="BG16" s="86" t="s">
        <v>188</v>
      </c>
      <c r="BH16" s="86" t="s">
        <v>189</v>
      </c>
      <c r="BI16" s="86" t="s">
        <v>190</v>
      </c>
      <c r="BJ16" s="86" t="s">
        <v>191</v>
      </c>
      <c r="BK16" s="87" t="s">
        <v>133</v>
      </c>
      <c r="BL16" s="87" t="s">
        <v>215</v>
      </c>
      <c r="BM16" s="88" t="s">
        <v>187</v>
      </c>
      <c r="BN16" s="86" t="s">
        <v>188</v>
      </c>
      <c r="BO16" s="86" t="s">
        <v>189</v>
      </c>
      <c r="BP16" s="86" t="s">
        <v>190</v>
      </c>
      <c r="BQ16" s="86" t="s">
        <v>191</v>
      </c>
      <c r="BR16" s="86" t="s">
        <v>133</v>
      </c>
      <c r="BS16" s="89" t="s">
        <v>215</v>
      </c>
      <c r="BT16" s="99"/>
      <c r="BU16" s="89"/>
      <c r="BV16" s="48" t="s">
        <v>126</v>
      </c>
      <c r="BW16" s="100" t="s">
        <v>126</v>
      </c>
      <c r="BX16" s="96" t="s">
        <v>297</v>
      </c>
      <c r="BY16" s="97" t="s">
        <v>298</v>
      </c>
      <c r="BZ16" s="101" t="s">
        <v>128</v>
      </c>
      <c r="CA16" s="102" t="s">
        <v>129</v>
      </c>
      <c r="CB16" s="103"/>
      <c r="CC16" s="883"/>
      <c r="CD16" s="885"/>
      <c r="CE16" s="104" t="s">
        <v>164</v>
      </c>
      <c r="CF16" s="105" t="s">
        <v>145</v>
      </c>
      <c r="CG16" s="105" t="s">
        <v>146</v>
      </c>
      <c r="CH16" s="105" t="s">
        <v>147</v>
      </c>
      <c r="CI16" s="105" t="s">
        <v>148</v>
      </c>
      <c r="CJ16" s="105" t="s">
        <v>149</v>
      </c>
      <c r="CK16" s="97" t="s">
        <v>150</v>
      </c>
      <c r="CL16" s="96" t="s">
        <v>219</v>
      </c>
      <c r="CM16" s="105" t="s">
        <v>152</v>
      </c>
      <c r="CN16" s="105" t="s">
        <v>299</v>
      </c>
      <c r="CO16" s="105" t="s">
        <v>153</v>
      </c>
      <c r="CP16" s="105" t="s">
        <v>300</v>
      </c>
      <c r="CQ16" s="105" t="s">
        <v>154</v>
      </c>
      <c r="CR16" s="105" t="s">
        <v>301</v>
      </c>
      <c r="CS16" s="105" t="s">
        <v>155</v>
      </c>
      <c r="CT16" s="105" t="s">
        <v>302</v>
      </c>
      <c r="CU16" s="105" t="s">
        <v>156</v>
      </c>
      <c r="CV16" s="105" t="s">
        <v>303</v>
      </c>
      <c r="CW16" s="105" t="s">
        <v>220</v>
      </c>
      <c r="CX16" s="97" t="s">
        <v>304</v>
      </c>
      <c r="CY16" s="106"/>
      <c r="CZ16" s="878"/>
      <c r="DA16" s="885"/>
      <c r="DB16" s="90" t="s">
        <v>159</v>
      </c>
      <c r="DC16" s="91" t="s">
        <v>160</v>
      </c>
      <c r="DD16" s="91" t="s">
        <v>161</v>
      </c>
      <c r="DE16" s="91" t="s">
        <v>162</v>
      </c>
      <c r="DF16" s="91" t="s">
        <v>163</v>
      </c>
      <c r="DG16" s="94" t="s">
        <v>305</v>
      </c>
      <c r="DH16" s="93" t="s">
        <v>306</v>
      </c>
      <c r="DI16" s="91" t="s">
        <v>307</v>
      </c>
      <c r="DJ16" s="91" t="s">
        <v>308</v>
      </c>
      <c r="DK16" s="91" t="s">
        <v>309</v>
      </c>
      <c r="DL16" s="91" t="s">
        <v>310</v>
      </c>
      <c r="DM16" s="94" t="s">
        <v>311</v>
      </c>
      <c r="DN16" s="90" t="s">
        <v>152</v>
      </c>
      <c r="DO16" s="91" t="s">
        <v>153</v>
      </c>
      <c r="DP16" s="91" t="s">
        <v>154</v>
      </c>
      <c r="DQ16" s="91" t="s">
        <v>312</v>
      </c>
      <c r="DR16" s="91" t="s">
        <v>156</v>
      </c>
      <c r="DS16" s="92" t="s">
        <v>157</v>
      </c>
      <c r="DT16" s="90" t="s">
        <v>313</v>
      </c>
      <c r="DU16" s="91" t="s">
        <v>314</v>
      </c>
      <c r="DV16" s="91" t="s">
        <v>315</v>
      </c>
      <c r="DW16" s="91" t="s">
        <v>316</v>
      </c>
      <c r="DX16" s="91" t="s">
        <v>317</v>
      </c>
      <c r="DY16" s="92" t="s">
        <v>318</v>
      </c>
      <c r="DZ16" s="107"/>
      <c r="EA16" s="878"/>
      <c r="EB16" s="84"/>
      <c r="EC16" s="108" t="s">
        <v>319</v>
      </c>
      <c r="ED16" s="109" t="s">
        <v>320</v>
      </c>
      <c r="EE16" s="72" t="s">
        <v>168</v>
      </c>
      <c r="EF16" s="72" t="s">
        <v>169</v>
      </c>
      <c r="EG16" s="72" t="s">
        <v>177</v>
      </c>
      <c r="EH16" s="72" t="s">
        <v>321</v>
      </c>
      <c r="EI16" s="110" t="s">
        <v>322</v>
      </c>
      <c r="EJ16" s="870"/>
      <c r="EK16" s="872"/>
      <c r="EL16" s="873"/>
      <c r="EM16" s="70" t="s">
        <v>179</v>
      </c>
      <c r="EN16" s="111" t="s">
        <v>180</v>
      </c>
      <c r="EO16" s="70" t="s">
        <v>181</v>
      </c>
      <c r="EP16" s="876"/>
      <c r="EQ16" s="861"/>
      <c r="ER16" s="54" t="s">
        <v>238</v>
      </c>
      <c r="ES16" s="63" t="s">
        <v>239</v>
      </c>
      <c r="ET16" s="68" t="s">
        <v>240</v>
      </c>
      <c r="EU16" s="54" t="s">
        <v>242</v>
      </c>
      <c r="EV16" s="55" t="s">
        <v>216</v>
      </c>
      <c r="EW16" s="61" t="s">
        <v>217</v>
      </c>
      <c r="EX16" s="54" t="s">
        <v>147</v>
      </c>
      <c r="EY16" s="55" t="s">
        <v>216</v>
      </c>
      <c r="EZ16" s="61" t="s">
        <v>217</v>
      </c>
      <c r="FA16" s="54" t="s">
        <v>148</v>
      </c>
      <c r="FB16" s="55" t="s">
        <v>216</v>
      </c>
      <c r="FC16" s="61" t="s">
        <v>217</v>
      </c>
      <c r="FD16" s="54" t="s">
        <v>149</v>
      </c>
      <c r="FE16" s="55" t="s">
        <v>216</v>
      </c>
      <c r="FF16" s="61" t="s">
        <v>217</v>
      </c>
      <c r="FG16" s="54" t="s">
        <v>150</v>
      </c>
      <c r="FH16" s="55" t="s">
        <v>216</v>
      </c>
      <c r="FI16" s="61" t="s">
        <v>217</v>
      </c>
      <c r="FJ16" s="112" t="s">
        <v>228</v>
      </c>
      <c r="FK16" s="113" t="s">
        <v>217</v>
      </c>
      <c r="FL16" s="114" t="s">
        <v>323</v>
      </c>
      <c r="FM16" s="115" t="s">
        <v>217</v>
      </c>
      <c r="FN16" s="71" t="s">
        <v>230</v>
      </c>
      <c r="FO16" s="72" t="s">
        <v>234</v>
      </c>
      <c r="FP16" s="72" t="s">
        <v>235</v>
      </c>
      <c r="FQ16" s="72" t="s">
        <v>236</v>
      </c>
      <c r="FR16" s="72" t="s">
        <v>237</v>
      </c>
      <c r="FS16" s="72" t="s">
        <v>231</v>
      </c>
      <c r="FT16" s="72" t="s">
        <v>232</v>
      </c>
      <c r="FU16" s="73" t="s">
        <v>233</v>
      </c>
      <c r="FV16" s="22"/>
      <c r="FW16" s="48"/>
      <c r="FX16" s="76" t="s">
        <v>243</v>
      </c>
      <c r="FY16" s="65" t="s">
        <v>178</v>
      </c>
      <c r="FZ16" s="69"/>
      <c r="GA16" s="68" t="s">
        <v>117</v>
      </c>
    </row>
    <row r="17" spans="2:183" ht="19.5" customHeight="1" x14ac:dyDescent="0.25">
      <c r="B17" s="116">
        <v>45641</v>
      </c>
      <c r="C17" s="117" t="s">
        <v>324</v>
      </c>
      <c r="D17" s="118">
        <v>2622</v>
      </c>
      <c r="E17" s="119">
        <f>D17/8</f>
        <v>327.75</v>
      </c>
      <c r="F17" s="119">
        <f>E17*D3/100</f>
        <v>45.884999999999998</v>
      </c>
      <c r="G17" s="119">
        <f>E17-F17</f>
        <v>281.86500000000001</v>
      </c>
      <c r="H17" s="120">
        <f>$D$4*E17*10^-6</f>
        <v>2.4056850000000001E-2</v>
      </c>
      <c r="I17" s="121">
        <f>$E$17*D5*10^-6</f>
        <v>7.8115934999999997E-2</v>
      </c>
      <c r="J17" s="121">
        <f>D6*E17*10^-6</f>
        <v>6.3583499999999996E-3</v>
      </c>
      <c r="K17" s="121">
        <f>$D$12*E17/100</f>
        <v>274.88392500000003</v>
      </c>
      <c r="L17" s="122">
        <f>$D$13*E17/100</f>
        <v>31.890075000000003</v>
      </c>
      <c r="M17" s="119">
        <f t="shared" ref="M17:M26" si="0">$D$7*E17/100</f>
        <v>85.378875000000008</v>
      </c>
      <c r="N17" s="119">
        <f t="shared" ref="N17:N26" si="1">$D$8*E17/100</f>
        <v>68.893050000000002</v>
      </c>
      <c r="O17" s="119">
        <f t="shared" ref="O17:O26" si="2">$D$9*E17/100</f>
        <v>42.148649999999996</v>
      </c>
      <c r="P17" s="123">
        <f t="shared" ref="P17:P26" si="3">$D$10*E17/100</f>
        <v>19.619115000000001</v>
      </c>
      <c r="Q17" s="124">
        <f t="shared" ref="Q17:Q26" si="4">$D$11*E17/100</f>
        <v>1.4811022500000002</v>
      </c>
      <c r="R17" s="125"/>
      <c r="S17" s="126">
        <v>2305</v>
      </c>
      <c r="T17" s="127">
        <f>S17/8</f>
        <v>288.125</v>
      </c>
      <c r="U17" s="128">
        <v>8.0000000000000002E-3</v>
      </c>
      <c r="V17" s="129">
        <v>0.44600000000000001</v>
      </c>
      <c r="W17" s="129">
        <v>2.2040000000000002</v>
      </c>
      <c r="X17" s="129">
        <v>6.0350000000000001</v>
      </c>
      <c r="Y17" s="129">
        <v>15.12</v>
      </c>
      <c r="Z17" s="129">
        <v>11.962</v>
      </c>
      <c r="AA17" s="130">
        <v>64.224999999999994</v>
      </c>
      <c r="AB17" s="146">
        <f>U17*T17/100</f>
        <v>2.3050000000000001E-2</v>
      </c>
      <c r="AC17" s="147">
        <f>V17*T17/100</f>
        <v>1.2850375000000001</v>
      </c>
      <c r="AD17" s="147">
        <f>W17*T17/100</f>
        <v>6.3502749999999999</v>
      </c>
      <c r="AE17" s="147">
        <f>X17*T17/100</f>
        <v>17.388343750000001</v>
      </c>
      <c r="AF17" s="147">
        <f>Y17*T17/100</f>
        <v>43.564499999999995</v>
      </c>
      <c r="AG17" s="147">
        <f>Z17*T17/100</f>
        <v>34.465512500000003</v>
      </c>
      <c r="AH17" s="147">
        <f>AA17*T17/100</f>
        <v>185.04828125</v>
      </c>
      <c r="AI17" s="148">
        <v>21.28</v>
      </c>
      <c r="AJ17" s="148">
        <v>31.13</v>
      </c>
      <c r="AK17" s="148">
        <v>13.48</v>
      </c>
      <c r="AL17" s="121">
        <f>AI17*T17*10^-6</f>
        <v>6.1313000000000001E-3</v>
      </c>
      <c r="AM17" s="121">
        <f>AJ17*T17*10^-6</f>
        <v>8.9693312499999987E-3</v>
      </c>
      <c r="AN17" s="121">
        <f>AK17*T17*10^-6</f>
        <v>3.8839249999999999E-3</v>
      </c>
      <c r="AO17" s="166">
        <v>14.36</v>
      </c>
      <c r="AP17" s="174">
        <f>AO17*T17/100</f>
        <v>41.374749999999992</v>
      </c>
      <c r="AQ17" s="175">
        <v>86.803463646988064</v>
      </c>
      <c r="AR17" s="175">
        <v>10.829262594316083</v>
      </c>
      <c r="AS17" s="181">
        <f>AQ17*T17/100</f>
        <v>250.10247963288435</v>
      </c>
      <c r="AT17" s="182">
        <f>AR17*T17/100</f>
        <v>31.201812849873214</v>
      </c>
      <c r="AU17" s="183">
        <v>10.199999999999999</v>
      </c>
      <c r="AV17" s="186">
        <f>AU17*T17/100</f>
        <v>29.388750000000002</v>
      </c>
      <c r="AW17" s="183">
        <v>4.3</v>
      </c>
      <c r="AX17" s="186">
        <f>AW17*T17/100</f>
        <v>12.389374999999999</v>
      </c>
      <c r="AY17" s="189">
        <v>2.0989460484280298</v>
      </c>
      <c r="AZ17" s="196">
        <v>0.26832771026781715</v>
      </c>
      <c r="BA17" s="203">
        <f>AY17*T17/100</f>
        <v>6.0475883020332608</v>
      </c>
      <c r="BB17" s="204">
        <f>AZ17*T17/100</f>
        <v>0.77311921520914817</v>
      </c>
      <c r="BC17" s="205"/>
      <c r="BD17" s="206"/>
      <c r="BE17" s="207">
        <f t="shared" ref="BE17:BE19" si="5">BD17/24</f>
        <v>0</v>
      </c>
      <c r="BF17" s="208"/>
      <c r="BG17" s="208"/>
      <c r="BH17" s="208"/>
      <c r="BI17" s="208"/>
      <c r="BJ17" s="208"/>
      <c r="BK17" s="208"/>
      <c r="BL17" s="209"/>
      <c r="BM17" s="210">
        <f>BF17*BE17/100</f>
        <v>0</v>
      </c>
      <c r="BN17" s="121">
        <f>BG17*BE17</f>
        <v>0</v>
      </c>
      <c r="BO17" s="121">
        <f>BH17*BE17</f>
        <v>0</v>
      </c>
      <c r="BP17" s="121">
        <f>BI17*BE17</f>
        <v>0</v>
      </c>
      <c r="BQ17" s="121">
        <f>BJ17*BE17</f>
        <v>0</v>
      </c>
      <c r="BR17" s="121">
        <f>BK17*BE17</f>
        <v>0</v>
      </c>
      <c r="BS17" s="122">
        <f>BL17*BE17</f>
        <v>0</v>
      </c>
      <c r="BT17" s="211"/>
      <c r="BU17" s="212"/>
      <c r="BV17" s="120">
        <f>BT17*BE17/100</f>
        <v>0</v>
      </c>
      <c r="BW17" s="122">
        <f>BU17*BE17</f>
        <v>0</v>
      </c>
      <c r="BX17" s="213"/>
      <c r="BY17" s="212"/>
      <c r="BZ17" s="120">
        <f>$BE17*$BX17/100</f>
        <v>0</v>
      </c>
      <c r="CA17" s="124">
        <f>$BE17*$BY17/100</f>
        <v>0</v>
      </c>
      <c r="CB17" s="214"/>
      <c r="CC17" s="215"/>
      <c r="CD17" s="118">
        <f>CC17/24</f>
        <v>0</v>
      </c>
      <c r="CE17" s="216"/>
      <c r="CF17" s="208"/>
      <c r="CG17" s="208"/>
      <c r="CH17" s="208"/>
      <c r="CI17" s="208"/>
      <c r="CJ17" s="208"/>
      <c r="CK17" s="212"/>
      <c r="CL17" s="210">
        <f t="shared" ref="CL17:CL19" si="6">CE17*CD17</f>
        <v>0</v>
      </c>
      <c r="CM17" s="121">
        <f>CF17*CD17</f>
        <v>0</v>
      </c>
      <c r="CN17" s="121">
        <f>12/(12+4)*CM17</f>
        <v>0</v>
      </c>
      <c r="CO17" s="121">
        <f>CF17*CD17</f>
        <v>0</v>
      </c>
      <c r="CP17" s="121">
        <f>2*12/(2*12+6)*CO17</f>
        <v>0</v>
      </c>
      <c r="CQ17" s="121">
        <f>CH17*CD17</f>
        <v>0</v>
      </c>
      <c r="CR17" s="121">
        <f>3*12/(3*12+8)*CQ17</f>
        <v>0</v>
      </c>
      <c r="CS17" s="121">
        <f>CI17*CD17</f>
        <v>0</v>
      </c>
      <c r="CT17" s="121">
        <f>CS17*4*12/(4*12+10)</f>
        <v>0</v>
      </c>
      <c r="CU17" s="121">
        <f>CJ17*CD17</f>
        <v>0</v>
      </c>
      <c r="CV17" s="121">
        <f>CU17*5*12/(5*12+12)</f>
        <v>0</v>
      </c>
      <c r="CW17" s="121">
        <f>CK17*CD17</f>
        <v>0</v>
      </c>
      <c r="CX17" s="122">
        <f>CW17*6*12/(6*12+14)</f>
        <v>0</v>
      </c>
      <c r="CY17" s="205"/>
      <c r="CZ17" s="217"/>
      <c r="DA17" s="118">
        <f>CZ17/24</f>
        <v>0</v>
      </c>
      <c r="DB17" s="218"/>
      <c r="DC17" s="208"/>
      <c r="DD17" s="208"/>
      <c r="DE17" s="208"/>
      <c r="DF17" s="208"/>
      <c r="DG17" s="209"/>
      <c r="DH17" s="210">
        <f>DB17*DA17</f>
        <v>0</v>
      </c>
      <c r="DI17" s="121">
        <f>DC17*DA17</f>
        <v>0</v>
      </c>
      <c r="DJ17" s="121">
        <f>DD17*DA17</f>
        <v>0</v>
      </c>
      <c r="DK17" s="121">
        <f>DE17*DA17</f>
        <v>0</v>
      </c>
      <c r="DL17" s="121">
        <f>DF17*DA17</f>
        <v>0</v>
      </c>
      <c r="DM17" s="122">
        <f>DG17*DA17</f>
        <v>0</v>
      </c>
      <c r="DN17" s="120">
        <v>16</v>
      </c>
      <c r="DO17" s="121">
        <v>30</v>
      </c>
      <c r="DP17" s="121">
        <v>45</v>
      </c>
      <c r="DQ17" s="121">
        <v>58</v>
      </c>
      <c r="DR17" s="121">
        <v>72</v>
      </c>
      <c r="DS17" s="124">
        <v>86</v>
      </c>
      <c r="DT17" s="219"/>
      <c r="DU17" s="219"/>
      <c r="DV17" s="219"/>
      <c r="DW17" s="219"/>
      <c r="DX17" s="219"/>
      <c r="DY17" s="219"/>
      <c r="DZ17" s="220"/>
      <c r="EA17" s="181">
        <f>100*(G17-AH17)/G17</f>
        <v>34.348613254572221</v>
      </c>
      <c r="EB17" s="221"/>
      <c r="EC17" s="222">
        <f>100*(N17-AV17)/N17</f>
        <v>57.341488002055364</v>
      </c>
      <c r="ED17" s="223">
        <f>100*(O17-AX17)/O17</f>
        <v>70.605523545831232</v>
      </c>
      <c r="EE17" s="223">
        <f>100*(H17-(AL17))/H17</f>
        <v>74.51328831497058</v>
      </c>
      <c r="EF17" s="223">
        <f t="shared" ref="EF17:EG19" si="7">100*(I17-AM17)/I17</f>
        <v>88.517923711724109</v>
      </c>
      <c r="EG17" s="223">
        <f t="shared" si="7"/>
        <v>38.916149630014075</v>
      </c>
      <c r="EH17" s="224">
        <f>100*(P17-(BA17+BZ17))/P17</f>
        <v>69.175019861837498</v>
      </c>
      <c r="EI17" s="225">
        <f>100*($Q17-($BB17+$CA17))/$Q17</f>
        <v>47.801091031416092</v>
      </c>
      <c r="EJ17" s="226">
        <f>100*(M17-AP17)/M17</f>
        <v>51.539827621293917</v>
      </c>
      <c r="EK17" s="227">
        <f>(SUM(H17:I17)-SUM(AL17:AM17))*24</f>
        <v>2.0897316900000003</v>
      </c>
      <c r="EL17" s="221">
        <f>EK17</f>
        <v>2.0897316900000003</v>
      </c>
      <c r="EM17" s="226">
        <f>$EL17*0.7</f>
        <v>1.462812183</v>
      </c>
      <c r="EN17" s="221">
        <f>$EL17*0.2</f>
        <v>0.41794633800000008</v>
      </c>
      <c r="EO17" s="228">
        <f>$EL17*0.1</f>
        <v>0.20897316900000004</v>
      </c>
      <c r="EP17" s="225">
        <f>$EH17*$P17/100</f>
        <v>13.571526697966739</v>
      </c>
      <c r="EQ17" s="222">
        <f>Q17*EI17/100</f>
        <v>0.70798303479085201</v>
      </c>
      <c r="ER17" s="210" t="e">
        <f>100*(#REF!+$CM17)/$E17</f>
        <v>#REF!</v>
      </c>
      <c r="ES17" s="121" t="e">
        <f>12/(14)*$ER17</f>
        <v>#REF!</v>
      </c>
      <c r="ET17" s="124" t="e">
        <f>100-$ES17</f>
        <v>#REF!</v>
      </c>
      <c r="EU17" s="210" t="e">
        <f>100*($CO17+#REF!)/$E17</f>
        <v>#REF!</v>
      </c>
      <c r="EV17" s="121" t="e">
        <f>24/(30)*$EU17</f>
        <v>#REF!</v>
      </c>
      <c r="EW17" s="124" t="e">
        <f>100-$EV17</f>
        <v>#REF!</v>
      </c>
      <c r="EX17" s="210" t="e">
        <f>100*($CQ17+#REF!)*$E17</f>
        <v>#REF!</v>
      </c>
      <c r="EY17" s="121" t="e">
        <f>36/(44)*$EX17</f>
        <v>#REF!</v>
      </c>
      <c r="EZ17" s="124" t="e">
        <f>100-$EY17</f>
        <v>#REF!</v>
      </c>
      <c r="FA17" s="210" t="e">
        <f>100*($CS17+#REF!)/$E17</f>
        <v>#REF!</v>
      </c>
      <c r="FB17" s="121" t="e">
        <f>48/(58)*$FA17</f>
        <v>#REF!</v>
      </c>
      <c r="FC17" s="124" t="e">
        <f>100-$FB17</f>
        <v>#REF!</v>
      </c>
      <c r="FD17" s="210" t="e">
        <f>100*($CU17+#REF!)/$E17</f>
        <v>#REF!</v>
      </c>
      <c r="FE17" s="121" t="e">
        <f>60/(72)*$FD17</f>
        <v>#REF!</v>
      </c>
      <c r="FF17" s="124" t="e">
        <f>100-$FE17</f>
        <v>#REF!</v>
      </c>
      <c r="FG17" s="210" t="e">
        <f>100*($CW17+#REF!)/$E17</f>
        <v>#REF!</v>
      </c>
      <c r="FH17" s="121" t="e">
        <f>72/(86)*$FG17</f>
        <v>#REF!</v>
      </c>
      <c r="FI17" s="124" t="e">
        <f>100-$FH17</f>
        <v>#REF!</v>
      </c>
      <c r="FJ17" s="229">
        <f>(($EP17*34)/(32*$E17))*100</f>
        <v>4.3996177319876919</v>
      </c>
      <c r="FK17" s="230">
        <f>2/(34)*$FJ17</f>
        <v>0.25880104305809953</v>
      </c>
      <c r="FL17" s="231">
        <f>(($EQ17*17)/(14*E$17))*100</f>
        <v>0.26230165830760566</v>
      </c>
      <c r="FM17" s="232">
        <f>(3/17)*$FL17</f>
        <v>4.6288527936636292E-2</v>
      </c>
      <c r="FN17" s="233">
        <f>(($AB17+$BM17)/$E17)*100</f>
        <v>7.0327993897787953E-3</v>
      </c>
      <c r="FO17" s="234">
        <f>(($BN17+$AC17)/E17)*100</f>
        <v>0.39207856598016783</v>
      </c>
      <c r="FP17" s="234">
        <f>100*(($BO17+$AD17)/$E17)</f>
        <v>1.9375362318840579</v>
      </c>
      <c r="FQ17" s="234">
        <f>100*(($BP17+$AE17)/$E17)</f>
        <v>5.305368039664379</v>
      </c>
      <c r="FR17" s="234">
        <f>100*(($BQ17+$AF17)/$E17)</f>
        <v>13.291990846681919</v>
      </c>
      <c r="FS17" s="234" t="e">
        <f>$ER17+$EU17+$EX17+$FA17+$FD17+$FG17+$FJ17+$FL17+SUM(FN17:FR17)</f>
        <v>#REF!</v>
      </c>
      <c r="FT17" s="234">
        <f>(($BR17+$AG17)/$E17)*100</f>
        <v>10.515793287566744</v>
      </c>
      <c r="FU17" s="234">
        <f>(($AH17+$BS17)/$E17)*100</f>
        <v>56.460192601067881</v>
      </c>
      <c r="FV17" s="235" t="e">
        <f>(#REF!+#REF!+#REF!+#REF!+#REF!+#REF!+#REF!+$CX17+$CV17+$CT17+$CR17+$CP17+$CN17+$BV17+$AS17)/$K17</f>
        <v>#REF!</v>
      </c>
      <c r="FW17" s="236"/>
      <c r="FX17" s="235" t="e">
        <f>$FS17/$FV17</f>
        <v>#REF!</v>
      </c>
      <c r="FY17" s="237">
        <f>($AT17+$BW17+$CL17)-$L17</f>
        <v>-0.68826215012678915</v>
      </c>
      <c r="FZ17" s="238">
        <f>FY17/E17</f>
        <v>-2.0999607936744141E-3</v>
      </c>
      <c r="GA17" s="239"/>
    </row>
    <row r="18" spans="2:183" ht="19.5" customHeight="1" x14ac:dyDescent="0.25">
      <c r="B18" s="240">
        <v>45642</v>
      </c>
      <c r="C18" s="241" t="s">
        <v>324</v>
      </c>
      <c r="D18" s="242">
        <v>7031</v>
      </c>
      <c r="E18" s="243">
        <f>D18/(10+11.25)</f>
        <v>330.87058823529412</v>
      </c>
      <c r="F18" s="243">
        <f>E18*D3/100</f>
        <v>46.321882352941174</v>
      </c>
      <c r="G18" s="243">
        <f>E18-F18</f>
        <v>284.54870588235292</v>
      </c>
      <c r="H18" s="244">
        <f>$D$4*E18*10^-6</f>
        <v>2.428590117647059E-2</v>
      </c>
      <c r="I18" s="219">
        <f>E18*D5*10^-6</f>
        <v>7.8859695999999993E-2</v>
      </c>
      <c r="J18" s="219">
        <f>$D$5*D6*10^-6</f>
        <v>4.6237959999999995E-3</v>
      </c>
      <c r="K18" s="219">
        <f t="shared" ref="K18:K26" si="8">$D$12*E18/100</f>
        <v>277.50116235294121</v>
      </c>
      <c r="L18" s="245">
        <f t="shared" ref="L18:L26" si="9">$D$13*E18/100</f>
        <v>32.193708235294118</v>
      </c>
      <c r="M18" s="243">
        <f t="shared" si="0"/>
        <v>86.191788235294112</v>
      </c>
      <c r="N18" s="243">
        <f t="shared" si="1"/>
        <v>69.548997647058826</v>
      </c>
      <c r="O18" s="243">
        <f t="shared" si="2"/>
        <v>42.549957647058818</v>
      </c>
      <c r="P18" s="246">
        <f t="shared" si="3"/>
        <v>19.805913411764706</v>
      </c>
      <c r="Q18" s="247">
        <f t="shared" si="4"/>
        <v>1.4952041882352942</v>
      </c>
      <c r="R18" s="248"/>
      <c r="S18" s="249">
        <v>6508</v>
      </c>
      <c r="T18" s="250">
        <f>S18/(10+11.25)</f>
        <v>306.25882352941176</v>
      </c>
      <c r="U18" s="131">
        <v>1.0999999999999999E-2</v>
      </c>
      <c r="V18" s="132">
        <v>0.432</v>
      </c>
      <c r="W18" s="132">
        <v>1.9530000000000001</v>
      </c>
      <c r="X18" s="132">
        <v>5.2229999999999999</v>
      </c>
      <c r="Y18" s="132">
        <v>13.433999999999999</v>
      </c>
      <c r="Z18" s="132">
        <v>10.667</v>
      </c>
      <c r="AA18" s="133">
        <v>68.28</v>
      </c>
      <c r="AB18" s="251">
        <f>U18*T18/100</f>
        <v>3.3688470588235292E-2</v>
      </c>
      <c r="AC18" s="252">
        <f>V18*T18/100</f>
        <v>1.3230381176470587</v>
      </c>
      <c r="AD18" s="252">
        <f>W18*T18/100</f>
        <v>5.9812348235294124</v>
      </c>
      <c r="AE18" s="252">
        <f>X18*T18/100</f>
        <v>15.995898352941175</v>
      </c>
      <c r="AF18" s="252">
        <f>Y18*T18/100</f>
        <v>41.142810352941169</v>
      </c>
      <c r="AG18" s="252">
        <f>Z18*T18/100</f>
        <v>32.668628705882355</v>
      </c>
      <c r="AH18" s="252">
        <f>AA18*T18/100</f>
        <v>209.11352470588233</v>
      </c>
      <c r="AI18" s="149">
        <v>21.3</v>
      </c>
      <c r="AJ18" s="149">
        <v>33.36</v>
      </c>
      <c r="AK18" s="149">
        <v>7.95</v>
      </c>
      <c r="AL18" s="219">
        <f>AI18*T18*10^-6</f>
        <v>6.52331294117647E-3</v>
      </c>
      <c r="AM18" s="219">
        <f>AJ18*T18*10^-6</f>
        <v>1.0216794352941176E-2</v>
      </c>
      <c r="AN18" s="219">
        <f>AK18*T18*10^-6</f>
        <v>2.4347576470588233E-3</v>
      </c>
      <c r="AO18" s="167">
        <v>14.5</v>
      </c>
      <c r="AP18" s="253">
        <f t="shared" ref="AP18:AP26" si="10">AO18*T18/100</f>
        <v>44.407529411764706</v>
      </c>
      <c r="AQ18" s="176">
        <v>86.697797085644737</v>
      </c>
      <c r="AR18" s="176">
        <v>10.855864512959988</v>
      </c>
      <c r="AS18" s="254">
        <f t="shared" ref="AS18:AS19" si="11">AQ18*T18/100</f>
        <v>265.51965338041219</v>
      </c>
      <c r="AT18" s="255">
        <f t="shared" ref="AT18:AT19" si="12">AR18*T18/100</f>
        <v>33.247042941338165</v>
      </c>
      <c r="AU18" s="184">
        <v>10.3</v>
      </c>
      <c r="AV18" s="256">
        <f>AU18*T18/100</f>
        <v>31.544658823529414</v>
      </c>
      <c r="AW18" s="187">
        <v>5.0999999999999996</v>
      </c>
      <c r="AX18" s="256">
        <f>AW18*T18/100</f>
        <v>15.619199999999999</v>
      </c>
      <c r="AY18" s="190">
        <v>2.1731616522385155</v>
      </c>
      <c r="AZ18" s="197">
        <v>0.27317674915675766</v>
      </c>
      <c r="BA18" s="257">
        <f>AY18*T18/100</f>
        <v>6.6554993095380039</v>
      </c>
      <c r="BB18" s="258">
        <f>AZ18*T18/100</f>
        <v>0.83662789812337823</v>
      </c>
      <c r="BC18" s="259"/>
      <c r="BD18" s="260"/>
      <c r="BE18" s="40">
        <f t="shared" si="5"/>
        <v>0</v>
      </c>
      <c r="BF18" s="158"/>
      <c r="BG18" s="158"/>
      <c r="BH18" s="158"/>
      <c r="BI18" s="158"/>
      <c r="BJ18" s="158"/>
      <c r="BK18" s="158"/>
      <c r="BL18" s="161"/>
      <c r="BM18" s="261">
        <f>BF18*BE18/100</f>
        <v>0</v>
      </c>
      <c r="BN18" s="219">
        <f>BG18*BE18</f>
        <v>0</v>
      </c>
      <c r="BO18" s="219">
        <f>BH18*BE18</f>
        <v>0</v>
      </c>
      <c r="BP18" s="219">
        <f>BI18*BE18</f>
        <v>0</v>
      </c>
      <c r="BQ18" s="219">
        <f>BJ18*BE18</f>
        <v>0</v>
      </c>
      <c r="BR18" s="219">
        <f>BK18*BE18</f>
        <v>0</v>
      </c>
      <c r="BS18" s="245">
        <f t="shared" ref="BS18:BS19" si="13">BL18*BE18</f>
        <v>0</v>
      </c>
      <c r="BT18" s="262"/>
      <c r="BU18" s="263"/>
      <c r="BV18" s="244">
        <f t="shared" ref="BV18:BV26" si="14">BT18*BE18/100</f>
        <v>0</v>
      </c>
      <c r="BW18" s="245">
        <f t="shared" ref="BW18:BW26" si="15">BU18*BE18</f>
        <v>0</v>
      </c>
      <c r="BX18" s="264"/>
      <c r="BY18" s="263"/>
      <c r="BZ18" s="265">
        <f t="shared" ref="BZ18:BZ26" si="16">$BE18*$BX18/100</f>
        <v>0</v>
      </c>
      <c r="CA18" s="266">
        <f t="shared" ref="CA18:CA26" si="17">$BE18*$BY18/100</f>
        <v>0</v>
      </c>
      <c r="CB18" s="267"/>
      <c r="CC18" s="268"/>
      <c r="CD18" s="242">
        <f>CC18/24</f>
        <v>0</v>
      </c>
      <c r="CE18" s="269"/>
      <c r="CF18" s="158"/>
      <c r="CG18" s="158"/>
      <c r="CH18" s="158"/>
      <c r="CI18" s="158"/>
      <c r="CJ18" s="158"/>
      <c r="CK18" s="263"/>
      <c r="CL18" s="261">
        <f t="shared" si="6"/>
        <v>0</v>
      </c>
      <c r="CM18" s="219">
        <f t="shared" ref="CM18:CM26" si="18">CF18*CD18</f>
        <v>0</v>
      </c>
      <c r="CN18" s="219">
        <f t="shared" ref="CN18:CN26" si="19">12/(12+4)*CM18</f>
        <v>0</v>
      </c>
      <c r="CO18" s="219">
        <f t="shared" ref="CO18:CO26" si="20">CF18*CD18</f>
        <v>0</v>
      </c>
      <c r="CP18" s="219">
        <f t="shared" ref="CP18:CP26" si="21">2*12/(2*12+6)*CO18</f>
        <v>0</v>
      </c>
      <c r="CQ18" s="219">
        <f t="shared" ref="CQ18:CQ19" si="22">CH18*CD18</f>
        <v>0</v>
      </c>
      <c r="CR18" s="219">
        <f t="shared" ref="CR18:CR19" si="23">3*12/(3*12+8)*CQ18</f>
        <v>0</v>
      </c>
      <c r="CS18" s="219">
        <f t="shared" ref="CS18:CS19" si="24">CI18*CD18</f>
        <v>0</v>
      </c>
      <c r="CT18" s="219">
        <f t="shared" ref="CT18:CT19" si="25">CS18*4*12/(4*12+10)</f>
        <v>0</v>
      </c>
      <c r="CU18" s="219">
        <f t="shared" ref="CU18:CU19" si="26">CJ18*CD18</f>
        <v>0</v>
      </c>
      <c r="CV18" s="219">
        <f t="shared" ref="CV18:CV26" si="27">CU18*5*12/(5*12+12)</f>
        <v>0</v>
      </c>
      <c r="CW18" s="219">
        <f t="shared" ref="CW18:CW19" si="28">CK18*CD18</f>
        <v>0</v>
      </c>
      <c r="CX18" s="245">
        <f t="shared" ref="CX18:CX26" si="29">CW18*6*12/(6*12+14)</f>
        <v>0</v>
      </c>
      <c r="CY18" s="259"/>
      <c r="CZ18" s="270"/>
      <c r="DA18" s="242">
        <f>CZ18/24</f>
        <v>0</v>
      </c>
      <c r="DB18" s="157"/>
      <c r="DC18" s="158"/>
      <c r="DD18" s="158"/>
      <c r="DE18" s="158"/>
      <c r="DF18" s="158"/>
      <c r="DG18" s="164"/>
      <c r="DH18" s="261">
        <f>DB18*DA18</f>
        <v>0</v>
      </c>
      <c r="DI18" s="219">
        <f>DC18*DA18</f>
        <v>0</v>
      </c>
      <c r="DJ18" s="219">
        <f>DD18*DA18</f>
        <v>0</v>
      </c>
      <c r="DK18" s="219">
        <f>DE18*DA18</f>
        <v>0</v>
      </c>
      <c r="DL18" s="219">
        <f>DF18*DA18</f>
        <v>0</v>
      </c>
      <c r="DM18" s="245">
        <f>DG18*DA18</f>
        <v>0</v>
      </c>
      <c r="DN18" s="244">
        <v>16</v>
      </c>
      <c r="DO18" s="219">
        <v>30</v>
      </c>
      <c r="DP18" s="219">
        <v>45</v>
      </c>
      <c r="DQ18" s="219">
        <v>58</v>
      </c>
      <c r="DR18" s="219">
        <v>72</v>
      </c>
      <c r="DS18" s="247">
        <v>86</v>
      </c>
      <c r="DT18" s="219"/>
      <c r="DU18" s="219"/>
      <c r="DV18" s="219"/>
      <c r="DW18" s="219"/>
      <c r="DX18" s="219"/>
      <c r="DY18" s="219"/>
      <c r="DZ18" s="271"/>
      <c r="EA18" s="254">
        <f>100*(G18-AH18)/G18</f>
        <v>26.510463627854058</v>
      </c>
      <c r="EB18" s="272"/>
      <c r="EC18" s="273">
        <f>100*(N18-AV18)/N18</f>
        <v>54.643977784396704</v>
      </c>
      <c r="ED18" s="274">
        <f>100*(O18-AX18)/O18</f>
        <v>63.292090371611337</v>
      </c>
      <c r="EE18" s="274">
        <f>100*(H18-(AL18))/H18</f>
        <v>73.139506358954534</v>
      </c>
      <c r="EF18" s="274">
        <f t="shared" si="7"/>
        <v>87.044339667577233</v>
      </c>
      <c r="EG18" s="274">
        <f t="shared" si="7"/>
        <v>47.342883486667155</v>
      </c>
      <c r="EH18" s="275">
        <f>100*(P18-(BA18+BZ18))/P18</f>
        <v>66.396403078362241</v>
      </c>
      <c r="EI18" s="276">
        <f t="shared" ref="EI18:EI26" si="30">100*($Q18-($BB18+$CA18))/$Q18</f>
        <v>44.045909936167099</v>
      </c>
      <c r="EJ18" s="277">
        <f>100*(M18-AP18)/M18</f>
        <v>48.478236359898894</v>
      </c>
      <c r="EK18" s="278">
        <f>(SUM(H18:I18)-SUM(AL18:AM18))*24</f>
        <v>2.0737317571764704</v>
      </c>
      <c r="EL18" s="272">
        <f>EK17+EK18</f>
        <v>4.1634634471764702</v>
      </c>
      <c r="EM18" s="277">
        <f t="shared" ref="EM18:EM26" si="31">$EL18*0.7</f>
        <v>2.9144244130235291</v>
      </c>
      <c r="EN18" s="272">
        <f t="shared" ref="EN18:EN26" si="32">$EL18*0.2</f>
        <v>0.83269268943529406</v>
      </c>
      <c r="EO18" s="279">
        <f t="shared" ref="EO18:EO26" si="33">$EL18*0.1</f>
        <v>0.41634634471764703</v>
      </c>
      <c r="EP18" s="276">
        <f>EH18*P18/100</f>
        <v>13.1504141022267</v>
      </c>
      <c r="EQ18" s="273">
        <f>Q18*EI18/100</f>
        <v>0.6585762901119161</v>
      </c>
      <c r="ER18" s="261" t="e">
        <f>100*(#REF!+$CM18)/$E18</f>
        <v>#REF!</v>
      </c>
      <c r="ES18" s="219" t="e">
        <f t="shared" ref="ES18:ES26" si="34">12/(14)*$ER18</f>
        <v>#REF!</v>
      </c>
      <c r="ET18" s="247" t="e">
        <f t="shared" ref="ET18:ET26" si="35">100-$ES18</f>
        <v>#REF!</v>
      </c>
      <c r="EU18" s="261" t="e">
        <f>100*($CO18+#REF!)/$E18</f>
        <v>#REF!</v>
      </c>
      <c r="EV18" s="219" t="e">
        <f t="shared" ref="EV18:EV26" si="36">24/(30)*$EU18</f>
        <v>#REF!</v>
      </c>
      <c r="EW18" s="247" t="e">
        <f t="shared" ref="EW18:EW26" si="37">100-$EV18</f>
        <v>#REF!</v>
      </c>
      <c r="EX18" s="261" t="e">
        <f>100*($CQ18+#REF!)*$E18</f>
        <v>#REF!</v>
      </c>
      <c r="EY18" s="219" t="e">
        <f t="shared" ref="EY18:EY26" si="38">36/(44)*$EX18</f>
        <v>#REF!</v>
      </c>
      <c r="EZ18" s="247" t="e">
        <f t="shared" ref="EZ18:EZ26" si="39">100-$EY18</f>
        <v>#REF!</v>
      </c>
      <c r="FA18" s="261" t="e">
        <f>100*($CS18+#REF!)/$E18</f>
        <v>#REF!</v>
      </c>
      <c r="FB18" s="219" t="e">
        <f t="shared" ref="FB18:FB26" si="40">48/(58)*$FA18</f>
        <v>#REF!</v>
      </c>
      <c r="FC18" s="247" t="e">
        <f t="shared" ref="FC18:FC26" si="41">100-$FB18</f>
        <v>#REF!</v>
      </c>
      <c r="FD18" s="261" t="e">
        <f>100*($CU18+#REF!)/$E18</f>
        <v>#REF!</v>
      </c>
      <c r="FE18" s="219" t="e">
        <f t="shared" ref="FE18:FE26" si="42">60/(72)*$FD18</f>
        <v>#REF!</v>
      </c>
      <c r="FF18" s="247" t="e">
        <f t="shared" ref="FF18:FF26" si="43">100-$FE18</f>
        <v>#REF!</v>
      </c>
      <c r="FG18" s="261" t="e">
        <f>100*($CW18+#REF!)/$E18</f>
        <v>#REF!</v>
      </c>
      <c r="FH18" s="219" t="e">
        <f t="shared" ref="FH18:FH26" si="44">72/(86)*$FG18</f>
        <v>#REF!</v>
      </c>
      <c r="FI18" s="247" t="e">
        <f t="shared" ref="FI18:FI26" si="45">100-$FH18</f>
        <v>#REF!</v>
      </c>
      <c r="FJ18" s="280">
        <f>(($EP18*34)/(32*$E18))*100</f>
        <v>4.222894231287686</v>
      </c>
      <c r="FK18" s="281">
        <f t="shared" ref="FK18:FK26" si="46">2/(34)*$FJ18</f>
        <v>0.24840554301692269</v>
      </c>
      <c r="FL18" s="282">
        <f>(($EQ18*17)/(14*E$17))*100</f>
        <v>0.24399688202904163</v>
      </c>
      <c r="FM18" s="283">
        <f t="shared" ref="FM18:FM26" si="47">(3/17)*$FL18</f>
        <v>4.3058273299242646E-2</v>
      </c>
      <c r="FN18" s="99">
        <f t="shared" ref="FN18:FN26" si="48">(($AB18+$BM18)/$E18)*100</f>
        <v>1.0181766462807565E-2</v>
      </c>
      <c r="FO18" s="48">
        <f>(($BN18+$AC18)/E18)*100</f>
        <v>0.39986573744844256</v>
      </c>
      <c r="FP18" s="48">
        <f t="shared" ref="FP18:FP26" si="49">100*(($BO18+$AD18)/$E18)</f>
        <v>1.8077263547148343</v>
      </c>
      <c r="FQ18" s="48">
        <f t="shared" ref="FQ18:FQ26" si="50">100*(($BP18+$AE18)/$E18)</f>
        <v>4.8344878395676281</v>
      </c>
      <c r="FR18" s="48">
        <f t="shared" ref="FR18:FR26" si="51">100*(($BQ18+$AF18)/$E18)</f>
        <v>12.434713696486984</v>
      </c>
      <c r="FS18" s="48" t="e">
        <f>$ER18+$EU18+$EX18+$FA18+$FD18+$FG18+$FJ18+$FL18+SUM(FN18:FR18)</f>
        <v>#REF!</v>
      </c>
      <c r="FT18" s="48">
        <f t="shared" ref="FT18:FT26" si="52">(($BR18+$AG18)/$E18)*100</f>
        <v>9.8735366235243927</v>
      </c>
      <c r="FU18" s="48">
        <f t="shared" ref="FU18:FU26" si="53">(($AH18+$BS18)/$E18)*100</f>
        <v>63.201001280045496</v>
      </c>
      <c r="FV18" s="284" t="e">
        <f>(#REF!+#REF!+#REF!+#REF!+#REF!+#REF!+#REF!+$CX18+$CV18+$CT18+$CR18+$CP18+$CN18+$BV18+$AS18)/$K18</f>
        <v>#REF!</v>
      </c>
      <c r="FW18" s="285"/>
      <c r="FX18" s="284" t="e">
        <f t="shared" ref="FX18:FX19" si="54">$FS18/$FV18</f>
        <v>#REF!</v>
      </c>
      <c r="FY18" s="286">
        <f t="shared" ref="FY18:FY26" si="55">($AT18+$BW18+$CL18)-$L18</f>
        <v>1.0533347060440477</v>
      </c>
      <c r="FZ18" s="287">
        <f>FY18/E18</f>
        <v>3.183524748035274E-3</v>
      </c>
      <c r="GA18" s="288"/>
    </row>
    <row r="19" spans="2:183" ht="15.75" thickBot="1" x14ac:dyDescent="0.3">
      <c r="B19" s="289">
        <v>45643</v>
      </c>
      <c r="C19" s="290" t="s">
        <v>324</v>
      </c>
      <c r="D19" s="41">
        <v>1094</v>
      </c>
      <c r="E19" s="291">
        <f>D19/4.5</f>
        <v>243.11111111111111</v>
      </c>
      <c r="F19" s="291">
        <f>$D$3/100*E19</f>
        <v>34.035555555555561</v>
      </c>
      <c r="G19" s="291">
        <f>E19-F19</f>
        <v>209.07555555555555</v>
      </c>
      <c r="H19" s="292">
        <f>$D$4*E19*10^-6</f>
        <v>1.7844355555555556E-2</v>
      </c>
      <c r="I19" s="293">
        <f>$D$5*E19*10^-6</f>
        <v>5.7943102222222223E-2</v>
      </c>
      <c r="J19" s="293">
        <f>$D$6*E19*10^-6</f>
        <v>4.7163555555555549E-3</v>
      </c>
      <c r="K19" s="293">
        <f t="shared" si="8"/>
        <v>203.89728888888891</v>
      </c>
      <c r="L19" s="294">
        <f t="shared" si="9"/>
        <v>23.654711111111116</v>
      </c>
      <c r="M19" s="291">
        <f t="shared" si="0"/>
        <v>63.330444444444446</v>
      </c>
      <c r="N19" s="291">
        <f t="shared" si="1"/>
        <v>51.101955555555548</v>
      </c>
      <c r="O19" s="291">
        <f t="shared" si="2"/>
        <v>31.264088888888885</v>
      </c>
      <c r="P19" s="292">
        <f t="shared" si="3"/>
        <v>14.552631111111111</v>
      </c>
      <c r="Q19" s="295">
        <f t="shared" si="4"/>
        <v>1.0986191111111112</v>
      </c>
      <c r="R19" s="296"/>
      <c r="S19" s="297">
        <v>1900</v>
      </c>
      <c r="T19" s="298">
        <f>S19/4.5</f>
        <v>422.22222222222223</v>
      </c>
      <c r="U19" s="134">
        <v>0</v>
      </c>
      <c r="V19" s="135">
        <v>0.38500000000000001</v>
      </c>
      <c r="W19" s="135">
        <v>1.9470000000000001</v>
      </c>
      <c r="X19" s="135">
        <v>5.3609999999999998</v>
      </c>
      <c r="Y19" s="135">
        <v>13.824999999999999</v>
      </c>
      <c r="Z19" s="135">
        <v>11.039</v>
      </c>
      <c r="AA19" s="136">
        <v>67.442999999999998</v>
      </c>
      <c r="AB19" s="299">
        <f>U19*T19/100</f>
        <v>0</v>
      </c>
      <c r="AC19" s="300">
        <f>V19*T19/100</f>
        <v>1.6255555555555556</v>
      </c>
      <c r="AD19" s="300">
        <f>W19*T19/100</f>
        <v>8.2206666666666663</v>
      </c>
      <c r="AE19" s="300">
        <f>X19*T19/100</f>
        <v>22.635333333333332</v>
      </c>
      <c r="AF19" s="300">
        <f>Y19*T19/100</f>
        <v>58.37222222222222</v>
      </c>
      <c r="AG19" s="300">
        <f>Z19*T19/100</f>
        <v>46.609111111111112</v>
      </c>
      <c r="AH19" s="300">
        <f>AA19*T19/100</f>
        <v>284.75933333333336</v>
      </c>
      <c r="AI19" s="150">
        <v>21.36</v>
      </c>
      <c r="AJ19" s="150">
        <v>34.380000000000003</v>
      </c>
      <c r="AK19" s="150">
        <v>4.5</v>
      </c>
      <c r="AL19" s="301">
        <f t="shared" ref="AL19" si="56">AI19*T19*10^-6</f>
        <v>9.0186666666666662E-3</v>
      </c>
      <c r="AM19" s="302">
        <f>AJ19*T19*10^-6</f>
        <v>1.4516000000000001E-2</v>
      </c>
      <c r="AN19" s="303">
        <f>AK19*T19*10^-6</f>
        <v>1.9E-3</v>
      </c>
      <c r="AO19" s="168">
        <v>14.51</v>
      </c>
      <c r="AP19" s="304">
        <f t="shared" si="10"/>
        <v>61.264444444444443</v>
      </c>
      <c r="AQ19" s="177">
        <v>86.699467142256253</v>
      </c>
      <c r="AR19" s="177">
        <v>10.823754475131935</v>
      </c>
      <c r="AS19" s="305">
        <f t="shared" si="11"/>
        <v>366.0644168228597</v>
      </c>
      <c r="AT19" s="306">
        <f t="shared" si="12"/>
        <v>45.700296672779274</v>
      </c>
      <c r="AU19" s="185">
        <v>9.6999999999999993</v>
      </c>
      <c r="AV19" s="307">
        <f t="shared" ref="AV19:AV26" si="57">AU19*T19/100</f>
        <v>40.955555555555549</v>
      </c>
      <c r="AW19" s="188">
        <v>4.7</v>
      </c>
      <c r="AX19" s="307">
        <f t="shared" ref="AX19:AX26" si="58">AW19*T19/100</f>
        <v>19.844444444444445</v>
      </c>
      <c r="AY19" s="191">
        <v>2.2064238739038697</v>
      </c>
      <c r="AZ19" s="198">
        <v>0.27035450870792016</v>
      </c>
      <c r="BA19" s="308">
        <f>$AY19*$T19/100</f>
        <v>9.3160119120385616</v>
      </c>
      <c r="BB19" s="309">
        <f>$AZ19*$T19/100</f>
        <v>1.1414968145445519</v>
      </c>
      <c r="BC19" s="310"/>
      <c r="BD19" s="311"/>
      <c r="BE19" s="41">
        <f t="shared" si="5"/>
        <v>0</v>
      </c>
      <c r="BF19" s="312"/>
      <c r="BG19" s="313"/>
      <c r="BH19" s="313"/>
      <c r="BI19" s="314"/>
      <c r="BJ19" s="314"/>
      <c r="BK19" s="315"/>
      <c r="BL19" s="315"/>
      <c r="BM19" s="316">
        <f>BF19*BE19</f>
        <v>0</v>
      </c>
      <c r="BN19" s="302">
        <f>BG19*BE19</f>
        <v>0</v>
      </c>
      <c r="BO19" s="302">
        <f>BH19*BE19</f>
        <v>0</v>
      </c>
      <c r="BP19" s="302">
        <f>BI19*BE19</f>
        <v>0</v>
      </c>
      <c r="BQ19" s="302">
        <f>BJ19*BE19</f>
        <v>0</v>
      </c>
      <c r="BR19" s="302">
        <f>BL19*BE19</f>
        <v>0</v>
      </c>
      <c r="BS19" s="294">
        <f t="shared" si="13"/>
        <v>0</v>
      </c>
      <c r="BT19" s="317"/>
      <c r="BU19" s="318"/>
      <c r="BV19" s="292">
        <f t="shared" si="14"/>
        <v>0</v>
      </c>
      <c r="BW19" s="294">
        <f t="shared" si="15"/>
        <v>0</v>
      </c>
      <c r="BX19" s="319"/>
      <c r="BY19" s="318"/>
      <c r="BZ19" s="301">
        <f t="shared" si="16"/>
        <v>0</v>
      </c>
      <c r="CA19" s="320">
        <f t="shared" si="17"/>
        <v>0</v>
      </c>
      <c r="CB19" s="321"/>
      <c r="CC19" s="322"/>
      <c r="CD19" s="323">
        <v>19.940000000000001</v>
      </c>
      <c r="CE19" s="324"/>
      <c r="CF19" s="314"/>
      <c r="CG19" s="314"/>
      <c r="CH19" s="314"/>
      <c r="CI19" s="314"/>
      <c r="CJ19" s="314"/>
      <c r="CK19" s="318"/>
      <c r="CL19" s="325">
        <f t="shared" si="6"/>
        <v>0</v>
      </c>
      <c r="CM19" s="293">
        <f t="shared" si="18"/>
        <v>0</v>
      </c>
      <c r="CN19" s="293">
        <f t="shared" si="19"/>
        <v>0</v>
      </c>
      <c r="CO19" s="293">
        <f t="shared" si="20"/>
        <v>0</v>
      </c>
      <c r="CP19" s="293">
        <f t="shared" si="21"/>
        <v>0</v>
      </c>
      <c r="CQ19" s="293">
        <f t="shared" si="22"/>
        <v>0</v>
      </c>
      <c r="CR19" s="293">
        <f t="shared" si="23"/>
        <v>0</v>
      </c>
      <c r="CS19" s="293">
        <f t="shared" si="24"/>
        <v>0</v>
      </c>
      <c r="CT19" s="293">
        <f t="shared" si="25"/>
        <v>0</v>
      </c>
      <c r="CU19" s="293">
        <f t="shared" si="26"/>
        <v>0</v>
      </c>
      <c r="CV19" s="293">
        <f t="shared" si="27"/>
        <v>0</v>
      </c>
      <c r="CW19" s="293">
        <f t="shared" si="28"/>
        <v>0</v>
      </c>
      <c r="CX19" s="294">
        <f t="shared" si="29"/>
        <v>0</v>
      </c>
      <c r="CY19" s="310"/>
      <c r="CZ19" s="326"/>
      <c r="DA19" s="26">
        <v>157.66999999999999</v>
      </c>
      <c r="DB19" s="324"/>
      <c r="DC19" s="314"/>
      <c r="DD19" s="314"/>
      <c r="DE19" s="314"/>
      <c r="DF19" s="314"/>
      <c r="DG19" s="315"/>
      <c r="DH19" s="316">
        <f>$DB19*$DA19*(273.15+30)/(273.15)</f>
        <v>0</v>
      </c>
      <c r="DI19" s="302">
        <f>DA19*DC19*(273.15+30)/(273.15)</f>
        <v>0</v>
      </c>
      <c r="DJ19" s="302">
        <f>DD19*DA19*(273.15+30)/273</f>
        <v>0</v>
      </c>
      <c r="DK19" s="302">
        <f>DA19*DE19*(273.15+30)/273</f>
        <v>0</v>
      </c>
      <c r="DL19" s="302">
        <f>DF19*DA19*(273.15+30)/273</f>
        <v>0</v>
      </c>
      <c r="DM19" s="303">
        <f>DG19*DA19*(273.15+30)/273</f>
        <v>0</v>
      </c>
      <c r="DN19" s="301">
        <f>12+(2+2)</f>
        <v>16</v>
      </c>
      <c r="DO19" s="302">
        <f>(2*12)+((2*2)+2)</f>
        <v>30</v>
      </c>
      <c r="DP19" s="302">
        <f>(3*12)+((2*3)+3)</f>
        <v>45</v>
      </c>
      <c r="DQ19" s="302">
        <f>(4*12)+((2*4)+2)</f>
        <v>58</v>
      </c>
      <c r="DR19" s="302">
        <f>5*12+((2*5+2))</f>
        <v>72</v>
      </c>
      <c r="DS19" s="320">
        <f>6*12+((2*6)+2)</f>
        <v>86</v>
      </c>
      <c r="DT19" s="219"/>
      <c r="DU19" s="219"/>
      <c r="DV19" s="219"/>
      <c r="DW19" s="219"/>
      <c r="DX19" s="219"/>
      <c r="DY19" s="219"/>
      <c r="DZ19" s="327"/>
      <c r="EA19" s="328">
        <f>100*(G19-AH19)/G19</f>
        <v>-36.199247480974464</v>
      </c>
      <c r="EB19" s="328"/>
      <c r="EC19" s="328">
        <f>100*(N19-AV19)/N19</f>
        <v>19.855208846106347</v>
      </c>
      <c r="ED19" s="307">
        <f>100*(O19-AX19)/O19</f>
        <v>36.526394500186221</v>
      </c>
      <c r="EE19" s="307">
        <f>100*(H19-(AL19))/H19</f>
        <v>49.45927501506857</v>
      </c>
      <c r="EF19" s="307">
        <f t="shared" si="7"/>
        <v>74.947837717889996</v>
      </c>
      <c r="EG19" s="307">
        <f t="shared" si="7"/>
        <v>59.714657268323947</v>
      </c>
      <c r="EH19" s="329">
        <f>100*(P19-(BA19+BZ19))/P19</f>
        <v>35.98400288642187</v>
      </c>
      <c r="EI19" s="330">
        <f t="shared" si="30"/>
        <v>-3.9028725242250162</v>
      </c>
      <c r="EJ19" s="331">
        <f>100*(M19-AP19)/M19</f>
        <v>3.2622540677294092</v>
      </c>
      <c r="EK19" s="332">
        <f>(SUM(H19:I19)-SUM(AL19:AM19))*24</f>
        <v>1.2540669866666665</v>
      </c>
      <c r="EL19" s="307">
        <f>EK17+EK18+EK19</f>
        <v>5.4175304338431367</v>
      </c>
      <c r="EM19" s="331">
        <f t="shared" si="31"/>
        <v>3.7922713036901956</v>
      </c>
      <c r="EN19" s="333">
        <f t="shared" si="32"/>
        <v>1.0835060867686275</v>
      </c>
      <c r="EO19" s="334">
        <f t="shared" si="33"/>
        <v>0.54175304338431374</v>
      </c>
      <c r="EP19" s="330">
        <f>EH19*P19/100</f>
        <v>5.2366191990725497</v>
      </c>
      <c r="EQ19" s="328">
        <f>Q19*EI19/100</f>
        <v>-4.2877703433440661E-2</v>
      </c>
      <c r="ER19" s="325" t="e">
        <f>100*(#REF!+$CM19)/$E19</f>
        <v>#REF!</v>
      </c>
      <c r="ES19" s="293" t="e">
        <f t="shared" si="34"/>
        <v>#REF!</v>
      </c>
      <c r="ET19" s="295" t="e">
        <f t="shared" si="35"/>
        <v>#REF!</v>
      </c>
      <c r="EU19" s="325" t="e">
        <f>100*($CO19+#REF!)/$E19</f>
        <v>#REF!</v>
      </c>
      <c r="EV19" s="293" t="e">
        <f t="shared" si="36"/>
        <v>#REF!</v>
      </c>
      <c r="EW19" s="295" t="e">
        <f t="shared" si="37"/>
        <v>#REF!</v>
      </c>
      <c r="EX19" s="325" t="e">
        <f>100*($CQ19+#REF!)*$E19</f>
        <v>#REF!</v>
      </c>
      <c r="EY19" s="293" t="e">
        <f t="shared" si="38"/>
        <v>#REF!</v>
      </c>
      <c r="EZ19" s="295" t="e">
        <f t="shared" si="39"/>
        <v>#REF!</v>
      </c>
      <c r="FA19" s="325" t="e">
        <f>100*($CS19+#REF!)/$E19</f>
        <v>#REF!</v>
      </c>
      <c r="FB19" s="293" t="e">
        <f t="shared" si="40"/>
        <v>#REF!</v>
      </c>
      <c r="FC19" s="295" t="e">
        <f t="shared" si="41"/>
        <v>#REF!</v>
      </c>
      <c r="FD19" s="325" t="e">
        <f>100*($CU19+#REF!)/$E19</f>
        <v>#REF!</v>
      </c>
      <c r="FE19" s="293" t="e">
        <f t="shared" si="42"/>
        <v>#REF!</v>
      </c>
      <c r="FF19" s="295" t="e">
        <f t="shared" si="43"/>
        <v>#REF!</v>
      </c>
      <c r="FG19" s="325" t="e">
        <f>100*($CW19+#REF!)/$E19</f>
        <v>#REF!</v>
      </c>
      <c r="FH19" s="293" t="e">
        <f t="shared" si="44"/>
        <v>#REF!</v>
      </c>
      <c r="FI19" s="295" t="e">
        <f t="shared" si="45"/>
        <v>#REF!</v>
      </c>
      <c r="FJ19" s="335">
        <f>(($EP19*34)/(32*$E19))*100</f>
        <v>2.288627563580039</v>
      </c>
      <c r="FK19" s="336">
        <f t="shared" si="46"/>
        <v>0.13462515079882584</v>
      </c>
      <c r="FL19" s="337">
        <f>(($EQ19*17)/(14*E$17))*100</f>
        <v>-1.5885822346485588E-2</v>
      </c>
      <c r="FM19" s="338">
        <f t="shared" si="47"/>
        <v>-2.8033804140856922E-3</v>
      </c>
      <c r="FN19" s="339">
        <f t="shared" si="48"/>
        <v>0</v>
      </c>
      <c r="FO19" s="298">
        <f>(($BN19+$AC19)/E19)*100</f>
        <v>0.66864716636197441</v>
      </c>
      <c r="FP19" s="298">
        <f t="shared" si="49"/>
        <v>3.3814442413162706</v>
      </c>
      <c r="FQ19" s="298">
        <f t="shared" si="50"/>
        <v>9.310694698354661</v>
      </c>
      <c r="FR19" s="298">
        <f t="shared" si="51"/>
        <v>24.01051188299817</v>
      </c>
      <c r="FS19" s="298" t="e">
        <f>$ER19+$EU19+$EX19+$FA19+$FD19+$FG19+$FJ19+$FL19+SUM(FN19:FR19)</f>
        <v>#REF!</v>
      </c>
      <c r="FT19" s="298">
        <f t="shared" si="52"/>
        <v>19.171937842778792</v>
      </c>
      <c r="FU19" s="298">
        <f t="shared" si="53"/>
        <v>117.13135283363802</v>
      </c>
      <c r="FV19" s="340" t="e">
        <f>(#REF!+#REF!+#REF!+#REF!+#REF!+#REF!+#REF!+$CX19+$CV19+$CT19+$CR19+$CP19+$CN19+$BV19+$AS19)/$K19</f>
        <v>#REF!</v>
      </c>
      <c r="FW19" s="298"/>
      <c r="FX19" s="340" t="e">
        <f t="shared" si="54"/>
        <v>#REF!</v>
      </c>
      <c r="FY19" s="341">
        <f t="shared" si="55"/>
        <v>22.045585561668158</v>
      </c>
      <c r="FZ19" s="342">
        <f>FY19/E19</f>
        <v>9.0681110628433925E-2</v>
      </c>
      <c r="GA19" s="343"/>
    </row>
    <row r="20" spans="2:183" ht="15.75" x14ac:dyDescent="0.25">
      <c r="B20" s="344"/>
      <c r="C20" s="345"/>
      <c r="E20" s="346"/>
      <c r="F20" s="347"/>
      <c r="G20" s="347"/>
      <c r="H20" s="348"/>
      <c r="I20" s="349"/>
      <c r="J20" s="266"/>
      <c r="K20" s="349"/>
      <c r="L20" s="350"/>
      <c r="M20" s="351"/>
      <c r="N20" s="265"/>
      <c r="O20" s="266"/>
      <c r="P20" s="348"/>
      <c r="Q20" s="266"/>
      <c r="R20" s="248"/>
      <c r="U20" s="131">
        <v>0</v>
      </c>
      <c r="V20" s="137">
        <v>1.4</v>
      </c>
      <c r="W20" s="137">
        <v>7</v>
      </c>
      <c r="X20" s="137">
        <v>15.7</v>
      </c>
      <c r="Y20" s="137">
        <v>25.8</v>
      </c>
      <c r="Z20" s="137">
        <v>11.5</v>
      </c>
      <c r="AA20" s="138">
        <v>38.599999999999994</v>
      </c>
      <c r="AB20" s="352"/>
      <c r="AC20" s="353"/>
      <c r="AD20" s="353"/>
      <c r="AE20" s="353"/>
      <c r="AF20" s="353"/>
      <c r="AG20" s="353"/>
      <c r="AH20" s="353"/>
      <c r="AI20" s="151">
        <v>4.5599999999999996</v>
      </c>
      <c r="AJ20" s="152">
        <v>2.66</v>
      </c>
      <c r="AK20" s="161">
        <v>3.03</v>
      </c>
      <c r="AL20" s="348"/>
      <c r="AM20" s="349"/>
      <c r="AN20" s="350"/>
      <c r="AO20" s="169">
        <v>7.1074999999999999</v>
      </c>
      <c r="AP20" s="354"/>
      <c r="AQ20" s="178">
        <v>87.595408352226443</v>
      </c>
      <c r="AR20" s="178">
        <v>11.383128199216806</v>
      </c>
      <c r="AS20" s="355"/>
      <c r="AT20" s="355"/>
      <c r="AU20" s="178">
        <v>3.9</v>
      </c>
      <c r="AV20" s="356"/>
      <c r="AW20" s="178">
        <v>1.1000000000000001</v>
      </c>
      <c r="AX20" s="356"/>
      <c r="AY20" s="192">
        <v>0.82654890993895269</v>
      </c>
      <c r="AZ20" s="199">
        <v>0.19491453861781552</v>
      </c>
      <c r="BA20" s="257"/>
      <c r="BB20" s="258"/>
      <c r="BC20" s="357"/>
      <c r="BF20" s="358"/>
      <c r="BG20" s="137"/>
      <c r="BH20" s="137"/>
      <c r="BI20" s="137"/>
      <c r="BJ20" s="137"/>
      <c r="BK20" s="359"/>
      <c r="BL20" s="359"/>
      <c r="BM20" s="348"/>
      <c r="BN20" s="348"/>
      <c r="BO20" s="348"/>
      <c r="BP20" s="348"/>
      <c r="BQ20" s="348"/>
      <c r="BR20" s="349"/>
      <c r="BS20" s="350"/>
      <c r="BT20" s="360"/>
      <c r="BU20" s="361"/>
      <c r="BV20" s="265"/>
      <c r="BW20" s="350"/>
      <c r="BX20" s="192"/>
      <c r="BY20" s="199"/>
      <c r="BZ20" s="265"/>
      <c r="CA20" s="266"/>
      <c r="CB20" s="362"/>
      <c r="CC20" s="363"/>
      <c r="CD20" s="364"/>
      <c r="CE20" s="151"/>
      <c r="CF20" s="152"/>
      <c r="CG20" s="152"/>
      <c r="CH20" s="152"/>
      <c r="CI20" s="152"/>
      <c r="CJ20" s="152"/>
      <c r="CK20" s="361"/>
      <c r="CL20" s="348"/>
      <c r="CM20" s="349"/>
      <c r="CN20" s="349"/>
      <c r="CO20" s="349"/>
      <c r="CP20" s="349"/>
      <c r="CQ20" s="349"/>
      <c r="CR20" s="349"/>
      <c r="CS20" s="349"/>
      <c r="CT20" s="349"/>
      <c r="CU20" s="349"/>
      <c r="CV20" s="349"/>
      <c r="CW20" s="349"/>
      <c r="CX20" s="350"/>
      <c r="CY20" s="357"/>
      <c r="CZ20" s="365"/>
      <c r="DA20" s="351"/>
      <c r="DB20" s="151"/>
      <c r="DC20" s="152"/>
      <c r="DD20" s="152"/>
      <c r="DE20" s="152"/>
      <c r="DF20" s="152"/>
      <c r="DG20" s="361"/>
      <c r="DH20" s="348"/>
      <c r="DI20" s="348"/>
      <c r="DJ20" s="348"/>
      <c r="DK20" s="348"/>
      <c r="DL20" s="348"/>
      <c r="DM20" s="348"/>
      <c r="DN20" s="265"/>
      <c r="DO20" s="265"/>
      <c r="DP20" s="265"/>
      <c r="DQ20" s="265"/>
      <c r="DR20" s="265"/>
      <c r="DS20" s="366"/>
      <c r="DT20" s="219"/>
      <c r="DU20" s="219"/>
      <c r="DV20" s="219"/>
      <c r="DW20" s="219"/>
      <c r="DX20" s="219"/>
      <c r="DY20" s="219"/>
      <c r="DZ20" s="367"/>
      <c r="EA20" s="273"/>
      <c r="EB20" s="273"/>
      <c r="EC20" s="222"/>
      <c r="ED20" s="223"/>
      <c r="EE20" s="223"/>
      <c r="EF20" s="223"/>
      <c r="EG20" s="223"/>
      <c r="EH20" s="224"/>
      <c r="EI20" s="225"/>
      <c r="EJ20" s="277"/>
      <c r="EK20" s="278"/>
      <c r="EL20" s="274"/>
      <c r="EM20" s="277"/>
      <c r="EN20" s="272"/>
      <c r="EO20" s="279"/>
      <c r="EP20" s="276"/>
      <c r="EQ20" s="273"/>
      <c r="ER20" s="348"/>
      <c r="ES20" s="349"/>
      <c r="ET20" s="266"/>
      <c r="EU20" s="348"/>
      <c r="EV20" s="349"/>
      <c r="EW20" s="266"/>
      <c r="EX20" s="348"/>
      <c r="EY20" s="349"/>
      <c r="EZ20" s="266"/>
      <c r="FA20" s="348"/>
      <c r="FB20" s="349"/>
      <c r="FC20" s="266"/>
      <c r="FD20" s="348"/>
      <c r="FE20" s="349"/>
      <c r="FF20" s="266"/>
      <c r="FG20" s="348"/>
      <c r="FH20" s="349"/>
      <c r="FI20" s="266"/>
      <c r="FJ20" s="368"/>
      <c r="FK20" s="369"/>
      <c r="FL20" s="231"/>
      <c r="FM20" s="232"/>
      <c r="FN20" s="99"/>
      <c r="FO20" s="48"/>
      <c r="FP20" s="48"/>
      <c r="FQ20" s="48"/>
      <c r="FR20" s="48"/>
      <c r="FS20" s="48"/>
      <c r="FT20" s="48"/>
      <c r="FU20" s="48"/>
      <c r="FV20" s="370"/>
      <c r="FW20" s="48"/>
      <c r="FX20" s="371"/>
      <c r="FY20" s="372"/>
      <c r="FZ20" s="287"/>
      <c r="GA20" s="373"/>
    </row>
    <row r="21" spans="2:183" s="416" customFormat="1" ht="17.25" x14ac:dyDescent="0.3">
      <c r="B21" s="374">
        <v>45645</v>
      </c>
      <c r="C21" s="375">
        <v>2</v>
      </c>
      <c r="D21" s="376">
        <v>2230</v>
      </c>
      <c r="E21" s="377">
        <f>D21/12</f>
        <v>185.83333333333334</v>
      </c>
      <c r="F21" s="378">
        <f t="shared" ref="F21:F26" si="59">$D$3/100*E21</f>
        <v>26.016666666666669</v>
      </c>
      <c r="G21" s="378">
        <f t="shared" ref="G21:G26" si="60">E21-F21</f>
        <v>159.81666666666666</v>
      </c>
      <c r="H21" s="379">
        <f t="shared" ref="H21:H26" si="61">$D$4*E21*10^-6</f>
        <v>1.3640166666666667E-2</v>
      </c>
      <c r="I21" s="154">
        <f t="shared" ref="I21:I26" si="62">$D$5*E21*10^-6</f>
        <v>4.4291516666666669E-2</v>
      </c>
      <c r="J21" s="162">
        <f t="shared" ref="J21:J26" si="63">$D$6*E21*10^-6</f>
        <v>3.6051666666666662E-3</v>
      </c>
      <c r="K21" s="154">
        <f t="shared" si="8"/>
        <v>155.8584166666667</v>
      </c>
      <c r="L21" s="380">
        <f t="shared" si="9"/>
        <v>18.081583333333334</v>
      </c>
      <c r="M21" s="381">
        <f t="shared" si="0"/>
        <v>48.409583333333337</v>
      </c>
      <c r="N21" s="153">
        <f t="shared" si="1"/>
        <v>39.06216666666667</v>
      </c>
      <c r="O21" s="162">
        <f t="shared" si="2"/>
        <v>23.898166666666665</v>
      </c>
      <c r="P21" s="379">
        <f t="shared" si="3"/>
        <v>11.123983333333333</v>
      </c>
      <c r="Q21" s="162">
        <f t="shared" si="4"/>
        <v>0.83978083333333342</v>
      </c>
      <c r="R21" s="381"/>
      <c r="S21" s="382">
        <v>1593</v>
      </c>
      <c r="T21" s="383">
        <f>S21/12</f>
        <v>132.75</v>
      </c>
      <c r="U21" s="139">
        <v>0.1</v>
      </c>
      <c r="V21" s="140">
        <v>2</v>
      </c>
      <c r="W21" s="140">
        <v>7.3</v>
      </c>
      <c r="X21" s="140">
        <v>16.600000000000001</v>
      </c>
      <c r="Y21" s="140">
        <v>27.8</v>
      </c>
      <c r="Z21" s="140">
        <v>12.5</v>
      </c>
      <c r="AA21" s="141">
        <v>33.700000000000003</v>
      </c>
      <c r="AB21" s="384">
        <f>U21*$T21/100</f>
        <v>0.13275000000000001</v>
      </c>
      <c r="AC21" s="384">
        <f t="shared" ref="AC21:AH26" si="64">V21*$T21/100</f>
        <v>2.6549999999999998</v>
      </c>
      <c r="AD21" s="384">
        <f t="shared" si="64"/>
        <v>9.6907499999999995</v>
      </c>
      <c r="AE21" s="384">
        <f t="shared" si="64"/>
        <v>22.0365</v>
      </c>
      <c r="AF21" s="384">
        <f t="shared" si="64"/>
        <v>36.904500000000006</v>
      </c>
      <c r="AG21" s="384">
        <f t="shared" si="64"/>
        <v>16.59375</v>
      </c>
      <c r="AH21" s="384">
        <f t="shared" si="64"/>
        <v>44.736750000000001</v>
      </c>
      <c r="AI21" s="153">
        <v>4.83</v>
      </c>
      <c r="AJ21" s="154">
        <v>0.91</v>
      </c>
      <c r="AK21" s="162">
        <v>7.08</v>
      </c>
      <c r="AL21" s="385">
        <f>AI21*T21*10^-6</f>
        <v>6.4118249999999997E-4</v>
      </c>
      <c r="AM21" s="386">
        <f>AJ21*T21*10^-6</f>
        <v>1.2080250000000001E-4</v>
      </c>
      <c r="AN21" s="387">
        <f>AK21*T21*10^-6</f>
        <v>9.3986999999999998E-4</v>
      </c>
      <c r="AO21" s="170">
        <v>7.51</v>
      </c>
      <c r="AP21" s="388">
        <f>AO21*T21/100</f>
        <v>9.9695249999999991</v>
      </c>
      <c r="AQ21" s="179">
        <v>87.614460732865624</v>
      </c>
      <c r="AR21" s="179">
        <v>11.202802047417693</v>
      </c>
      <c r="AS21" s="389">
        <f>AQ21*T21/100</f>
        <v>116.30819662287911</v>
      </c>
      <c r="AT21" s="389">
        <f>AR21*T21/100</f>
        <v>14.871719717946988</v>
      </c>
      <c r="AU21" s="179">
        <v>4.7</v>
      </c>
      <c r="AV21" s="390">
        <f>AU21*T21/100</f>
        <v>6.2392500000000011</v>
      </c>
      <c r="AW21" s="179">
        <v>1.6</v>
      </c>
      <c r="AX21" s="390">
        <f>AW21*T21/100</f>
        <v>2.1240000000000001</v>
      </c>
      <c r="AY21" s="193">
        <v>0.96833495053546459</v>
      </c>
      <c r="AZ21" s="200">
        <v>0.21440226918122568</v>
      </c>
      <c r="BA21" s="391">
        <f>AY21*T21/100</f>
        <v>1.2854646468358291</v>
      </c>
      <c r="BB21" s="392">
        <f>$AZ21*T21/100</f>
        <v>0.28461901233807707</v>
      </c>
      <c r="BC21" s="376"/>
      <c r="BD21" s="393">
        <v>218</v>
      </c>
      <c r="BE21" s="382">
        <f>BD21/12</f>
        <v>18.166666666666668</v>
      </c>
      <c r="BF21" s="394">
        <v>2.5</v>
      </c>
      <c r="BG21" s="394">
        <v>18</v>
      </c>
      <c r="BH21" s="394">
        <v>42.5</v>
      </c>
      <c r="BI21" s="394">
        <v>30</v>
      </c>
      <c r="BJ21" s="394">
        <v>7</v>
      </c>
      <c r="BK21" s="394">
        <v>0</v>
      </c>
      <c r="BL21" s="394">
        <f>100-SUM(BF21:BK21)</f>
        <v>0</v>
      </c>
      <c r="BM21" s="379">
        <f>BF21*$BE21/100</f>
        <v>0.45416666666666672</v>
      </c>
      <c r="BN21" s="379">
        <f t="shared" ref="BN21:BS26" si="65">BG21*$BE21/100</f>
        <v>3.27</v>
      </c>
      <c r="BO21" s="379">
        <f t="shared" si="65"/>
        <v>7.7208333333333341</v>
      </c>
      <c r="BP21" s="379">
        <f t="shared" si="65"/>
        <v>5.45</v>
      </c>
      <c r="BQ21" s="379">
        <f t="shared" si="65"/>
        <v>1.2716666666666667</v>
      </c>
      <c r="BR21" s="379">
        <f t="shared" si="65"/>
        <v>0</v>
      </c>
      <c r="BS21" s="379">
        <f>BL21*$BE21/100</f>
        <v>0</v>
      </c>
      <c r="BT21" s="395">
        <v>86.08</v>
      </c>
      <c r="BU21" s="395">
        <v>13.08</v>
      </c>
      <c r="BV21" s="153">
        <f>BT21*BE21/100</f>
        <v>15.637866666666666</v>
      </c>
      <c r="BW21" s="153">
        <f>BU21*BE21/100</f>
        <v>2.3761999999999999</v>
      </c>
      <c r="BX21" s="193">
        <v>0.11</v>
      </c>
      <c r="BY21" s="200">
        <v>0.73</v>
      </c>
      <c r="BZ21" s="396">
        <f>$BE21*BX21/100</f>
        <v>1.9983333333333336E-2</v>
      </c>
      <c r="CA21" s="396">
        <f>$BE21*BY21/100</f>
        <v>0.13261666666666666</v>
      </c>
      <c r="CB21" s="382"/>
      <c r="CC21" s="170">
        <f>706.5-611.41</f>
        <v>95.090000000000032</v>
      </c>
      <c r="CD21" s="397">
        <f>CC21/12</f>
        <v>7.924166666666669</v>
      </c>
      <c r="CE21" s="398">
        <v>29.5</v>
      </c>
      <c r="CF21" s="399">
        <v>10.4</v>
      </c>
      <c r="CG21" s="399">
        <v>8.1999999999999993</v>
      </c>
      <c r="CH21" s="399">
        <v>11.3</v>
      </c>
      <c r="CI21" s="399">
        <v>0.9</v>
      </c>
      <c r="CJ21" s="398">
        <v>34.9</v>
      </c>
      <c r="CK21" s="399">
        <v>3.1</v>
      </c>
      <c r="CL21" s="385">
        <f>CE21*CD21/100</f>
        <v>2.3376291666666673</v>
      </c>
      <c r="CM21" s="154">
        <f>CF21*CD21/100</f>
        <v>0.82411333333333359</v>
      </c>
      <c r="CN21" s="154">
        <f t="shared" si="19"/>
        <v>0.61808500000000022</v>
      </c>
      <c r="CO21" s="154">
        <f t="shared" si="20"/>
        <v>82.41133333333336</v>
      </c>
      <c r="CP21" s="154">
        <f t="shared" si="21"/>
        <v>65.929066666666685</v>
      </c>
      <c r="CQ21" s="386">
        <f t="shared" ref="CQ21:CQ26" si="66">CH21*CD21/100</f>
        <v>0.89543083333333373</v>
      </c>
      <c r="CR21" s="386">
        <f t="shared" ref="CR21:CR26" si="67">3*12/(3*12+8)*CQ21/100</f>
        <v>7.3262522727272758E-3</v>
      </c>
      <c r="CS21" s="386">
        <f t="shared" ref="CS21:CS26" si="68">CI21*CD21/100</f>
        <v>7.131750000000002E-2</v>
      </c>
      <c r="CT21" s="386">
        <f t="shared" ref="CT21:CT26" si="69">CS21*4*12/(4*12+10)/100</f>
        <v>5.9021379310344839E-4</v>
      </c>
      <c r="CU21" s="386">
        <f t="shared" ref="CU21:CU26" si="70">CJ21*CD21/100</f>
        <v>2.7655341666666673</v>
      </c>
      <c r="CV21" s="154">
        <f>CU21*5*12/(5*12+12)</f>
        <v>2.304611805555556</v>
      </c>
      <c r="CW21" s="386">
        <f t="shared" ref="CW21:CW26" si="71">CK21*CD21/100</f>
        <v>0.24564916666666675</v>
      </c>
      <c r="CX21" s="380">
        <f t="shared" si="29"/>
        <v>0.20565976744186054</v>
      </c>
      <c r="CY21" s="170"/>
      <c r="CZ21" s="400">
        <f>2788.22-2127</f>
        <v>661.2199999999998</v>
      </c>
      <c r="DA21" s="381">
        <f>CZ21/12</f>
        <v>55.101666666666652</v>
      </c>
      <c r="DB21" s="399">
        <v>0</v>
      </c>
      <c r="DC21" s="399">
        <v>0.1</v>
      </c>
      <c r="DD21" s="399">
        <v>0.2</v>
      </c>
      <c r="DE21" s="399">
        <v>0.2</v>
      </c>
      <c r="DF21" s="398">
        <v>0.6</v>
      </c>
      <c r="DG21" s="399">
        <v>0</v>
      </c>
      <c r="DH21" s="385">
        <f>DB$21*DA$21/100</f>
        <v>0</v>
      </c>
      <c r="DI21" s="385">
        <f>DA21*DD21/100</f>
        <v>0.11020333333333332</v>
      </c>
      <c r="DJ21" s="385">
        <f>DD21*DA21/100</f>
        <v>0.11020333333333332</v>
      </c>
      <c r="DK21" s="385">
        <f>DE21*DA21/100</f>
        <v>0.11020333333333332</v>
      </c>
      <c r="DL21" s="385">
        <f>DF21*DA21/100</f>
        <v>0.3306099999999999</v>
      </c>
      <c r="DM21" s="385">
        <f t="shared" ref="DM21:DM26" si="72">DG21*DA21/100</f>
        <v>0</v>
      </c>
      <c r="DN21" s="396">
        <f>(12+2*1+2)*(1*DH21)/(0.082*(273+28))</f>
        <v>0</v>
      </c>
      <c r="DO21" s="396">
        <f>(2*12+2*2+2)*(1*DI21)/(0.082*(273+28))</f>
        <v>0.13394781622234825</v>
      </c>
      <c r="DP21" s="396">
        <f>(3*12+2*3+2)*(1*DJ21)/(0.082*(273+28))</f>
        <v>0.19645679712611078</v>
      </c>
      <c r="DQ21" s="396">
        <f>(4*12+2*4+2)*(1*DK21)/(0.082*(273+28))</f>
        <v>0.25896577802987325</v>
      </c>
      <c r="DR21" s="396">
        <f>(5*12+2*5+2)*(1*DL21)/(0.082*(273+28))</f>
        <v>0.96442427680090725</v>
      </c>
      <c r="DS21" s="376">
        <f t="shared" ref="DS21:DS26" si="73">(1*DM21)/(0.082*(273+28))</f>
        <v>0</v>
      </c>
      <c r="DT21" s="154">
        <f>(6*12+2*6+2)*DN$21*(12/(12+2))</f>
        <v>0</v>
      </c>
      <c r="DU21" s="154">
        <f t="shared" ref="DU21:DY21" si="74">DO$21*(12/(12+2))</f>
        <v>0.11481241390486992</v>
      </c>
      <c r="DV21" s="154">
        <f t="shared" si="74"/>
        <v>0.16839154039380924</v>
      </c>
      <c r="DW21" s="154">
        <f t="shared" si="74"/>
        <v>0.2219706668827485</v>
      </c>
      <c r="DX21" s="154">
        <f t="shared" si="74"/>
        <v>0.82664938011506328</v>
      </c>
      <c r="DY21" s="154">
        <f t="shared" si="74"/>
        <v>0</v>
      </c>
      <c r="DZ21" s="401"/>
      <c r="EA21" s="402">
        <f t="shared" ref="EA21:EA26" si="75">100*(G21-AH21)/G21</f>
        <v>72.007456460527692</v>
      </c>
      <c r="EB21" s="402">
        <f>EA21/FV21</f>
        <v>55.377298439021956</v>
      </c>
      <c r="EC21" s="402">
        <f t="shared" ref="EC21:EC26" si="76">100*(N21-AV21)/N21</f>
        <v>84.027383700340906</v>
      </c>
      <c r="ED21" s="401">
        <f t="shared" ref="ED21:ED26" si="77">100*(O21-AX21)/O21</f>
        <v>91.112288948245677</v>
      </c>
      <c r="EE21" s="401">
        <f t="shared" ref="EE21:EE26" si="78">100*(H21-(AL21))/H21</f>
        <v>95.299305971334661</v>
      </c>
      <c r="EF21" s="401">
        <f t="shared" ref="EF21:EG26" si="79">100*(I21-AM21)/I21</f>
        <v>99.727255896633324</v>
      </c>
      <c r="EG21" s="401">
        <f t="shared" si="79"/>
        <v>73.929915399195608</v>
      </c>
      <c r="EH21" s="403">
        <f>100*(P21-(AY21+BZ21))/P21</f>
        <v>91.115428221586114</v>
      </c>
      <c r="EI21" s="404">
        <f>100*(Q21-(AZ21+CA21))/Q21</f>
        <v>58.67744034232436</v>
      </c>
      <c r="EJ21" s="405">
        <f t="shared" ref="EJ21:EJ26" si="80">100*(M21-AP21)/M21</f>
        <v>79.405885542635332</v>
      </c>
      <c r="EK21" s="406">
        <f t="shared" ref="EK21:EK26" si="81">(SUM(H21:I21)-SUM(AL21:AM21))*24</f>
        <v>1.37207276</v>
      </c>
      <c r="EL21" s="407">
        <f>EK17+EK18+EK19+EK20+EK21</f>
        <v>6.7896031938431367</v>
      </c>
      <c r="EM21" s="408">
        <f t="shared" si="31"/>
        <v>4.7527222356901957</v>
      </c>
      <c r="EN21" s="409">
        <f t="shared" si="32"/>
        <v>1.3579206387686273</v>
      </c>
      <c r="EO21" s="410">
        <f t="shared" si="33"/>
        <v>0.67896031938431367</v>
      </c>
      <c r="EP21" s="404">
        <f>EH21*P21/100</f>
        <v>10.135665049464537</v>
      </c>
      <c r="EQ21" s="411">
        <f t="shared" ref="EQ21:EQ26" si="82">Q21*EI21/100</f>
        <v>0.49276189748544108</v>
      </c>
      <c r="ER21" s="379">
        <f>100*($DN21+$CM21)/$E21</f>
        <v>0.44346905829596422</v>
      </c>
      <c r="ES21" s="154">
        <f t="shared" si="34"/>
        <v>0.380116335682255</v>
      </c>
      <c r="ET21" s="162">
        <f t="shared" si="35"/>
        <v>99.61988366431774</v>
      </c>
      <c r="EU21" s="379">
        <f>100*($CO21+DO21)/$E21</f>
        <v>44.418985371958222</v>
      </c>
      <c r="EV21" s="154">
        <f t="shared" si="36"/>
        <v>35.535188297566577</v>
      </c>
      <c r="EW21" s="162">
        <f t="shared" si="37"/>
        <v>64.464811702433423</v>
      </c>
      <c r="EX21" s="385">
        <f>100*($CQ21+DJ21)/$E21</f>
        <v>0.54114843049327377</v>
      </c>
      <c r="EY21" s="154">
        <f t="shared" si="38"/>
        <v>0.44275780676722404</v>
      </c>
      <c r="EZ21" s="162">
        <f t="shared" si="39"/>
        <v>99.557242193232781</v>
      </c>
      <c r="FA21" s="379">
        <f>100*($CS21+DQ21)/$E21</f>
        <v>0.17773091194432641</v>
      </c>
      <c r="FB21" s="154">
        <f t="shared" si="40"/>
        <v>0.14708765126427015</v>
      </c>
      <c r="FC21" s="162">
        <f t="shared" si="41"/>
        <v>99.852912348735728</v>
      </c>
      <c r="FD21" s="379">
        <f>100*($CU21+DR21)/$E21</f>
        <v>2.0071525256327756</v>
      </c>
      <c r="FE21" s="154">
        <f t="shared" si="42"/>
        <v>1.6726271046939798</v>
      </c>
      <c r="FF21" s="162">
        <f t="shared" si="43"/>
        <v>98.327372895306027</v>
      </c>
      <c r="FG21" s="379">
        <f>100*($CW21+DS21)/$E21</f>
        <v>0.13218789237668166</v>
      </c>
      <c r="FH21" s="154">
        <f t="shared" si="44"/>
        <v>0.1106689331525707</v>
      </c>
      <c r="FI21" s="162">
        <f t="shared" si="45"/>
        <v>99.889331066847433</v>
      </c>
      <c r="FJ21" s="379">
        <f t="shared" ref="FJ21:FJ26" si="83">(($EP21*34)/(32*$E21))*100</f>
        <v>5.795055129178154</v>
      </c>
      <c r="FK21" s="162">
        <f t="shared" si="46"/>
        <v>0.34088559583400907</v>
      </c>
      <c r="FL21" s="379">
        <f t="shared" ref="FL21:FL26" si="84">(($EQ21*17)/(14*E$17))*100</f>
        <v>0.18256406793619914</v>
      </c>
      <c r="FM21" s="380">
        <f t="shared" si="47"/>
        <v>3.2217188459329263E-2</v>
      </c>
      <c r="FN21" s="402">
        <f t="shared" si="48"/>
        <v>0.31582959641255609</v>
      </c>
      <c r="FO21" s="401">
        <f t="shared" ref="FO21:FO26" si="85">(($BN21+$AC21)/E21)*100</f>
        <v>3.188340807174888</v>
      </c>
      <c r="FP21" s="401">
        <f t="shared" si="49"/>
        <v>9.3694618834080714</v>
      </c>
      <c r="FQ21" s="401">
        <f t="shared" si="50"/>
        <v>14.790941704035873</v>
      </c>
      <c r="FR21" s="401">
        <f t="shared" si="51"/>
        <v>20.543228699551573</v>
      </c>
      <c r="FS21" s="401">
        <f t="shared" ref="FS21:FS26" si="86">$ER21+$EU21+$EX21+$FA21+$FD21+$FG21+$FJ21+$FL21+SUM(FN21:FR21)</f>
        <v>101.90609607839856</v>
      </c>
      <c r="FT21" s="401">
        <f t="shared" si="52"/>
        <v>8.9293721973094176</v>
      </c>
      <c r="FU21" s="401">
        <f t="shared" si="53"/>
        <v>24.073587443946188</v>
      </c>
      <c r="FV21" s="412">
        <f>(DY21+DX21+DW21+DV21+DU21+DU21+DT21+CX21+CX21+CV21+CT21+CR21+CP21+CN21+BV21+AS21)/K21</f>
        <v>1.300306415991344</v>
      </c>
      <c r="FW21" s="401"/>
      <c r="FX21" s="412">
        <f>$FS21/FV21</f>
        <v>78.37083230932619</v>
      </c>
      <c r="FY21" s="413">
        <f t="shared" si="55"/>
        <v>1.5039655512803201</v>
      </c>
      <c r="FZ21" s="414">
        <f t="shared" ref="FZ21:FZ26" si="87">FY21/E21</f>
        <v>8.0930881683245921E-3</v>
      </c>
      <c r="GA21" s="415">
        <v>2</v>
      </c>
    </row>
    <row r="22" spans="2:183" s="455" customFormat="1" x14ac:dyDescent="0.25">
      <c r="B22" s="417">
        <v>45646</v>
      </c>
      <c r="C22" s="418">
        <v>3</v>
      </c>
      <c r="D22" s="171">
        <v>4321</v>
      </c>
      <c r="E22" s="419">
        <f>D22/23</f>
        <v>187.86956521739131</v>
      </c>
      <c r="F22" s="420">
        <f t="shared" si="59"/>
        <v>26.301739130434786</v>
      </c>
      <c r="G22" s="420">
        <f t="shared" si="60"/>
        <v>161.56782608695653</v>
      </c>
      <c r="H22" s="421">
        <f t="shared" si="61"/>
        <v>1.3789626086956523E-2</v>
      </c>
      <c r="I22" s="156">
        <f t="shared" si="62"/>
        <v>4.4776832173913046E-2</v>
      </c>
      <c r="J22" s="163">
        <f t="shared" si="63"/>
        <v>3.6446695652173912E-3</v>
      </c>
      <c r="K22" s="156">
        <f t="shared" si="8"/>
        <v>157.5662043478261</v>
      </c>
      <c r="L22" s="422">
        <f t="shared" si="9"/>
        <v>18.279708695652175</v>
      </c>
      <c r="M22" s="419">
        <f t="shared" si="0"/>
        <v>48.940021739130437</v>
      </c>
      <c r="N22" s="155">
        <f t="shared" si="1"/>
        <v>39.490182608695655</v>
      </c>
      <c r="O22" s="163">
        <f t="shared" si="2"/>
        <v>24.160026086956524</v>
      </c>
      <c r="P22" s="421">
        <f t="shared" si="3"/>
        <v>11.245872173913044</v>
      </c>
      <c r="Q22" s="163">
        <f t="shared" si="4"/>
        <v>0.84898256521739146</v>
      </c>
      <c r="R22" s="419"/>
      <c r="S22" s="419">
        <v>3328</v>
      </c>
      <c r="T22" s="171">
        <f t="shared" ref="T22:T26" si="88">S22/24</f>
        <v>138.66666666666666</v>
      </c>
      <c r="U22" s="142">
        <v>0</v>
      </c>
      <c r="V22" s="143">
        <v>0</v>
      </c>
      <c r="W22" s="143">
        <v>0</v>
      </c>
      <c r="X22" s="143">
        <v>0</v>
      </c>
      <c r="Y22" s="143">
        <v>0</v>
      </c>
      <c r="Z22" s="143">
        <v>0</v>
      </c>
      <c r="AA22" s="144">
        <v>0</v>
      </c>
      <c r="AB22" s="423">
        <f t="shared" ref="AB22:AB26" si="89">U22*$T22/100</f>
        <v>0</v>
      </c>
      <c r="AC22" s="423">
        <f t="shared" si="64"/>
        <v>0</v>
      </c>
      <c r="AD22" s="423">
        <f t="shared" si="64"/>
        <v>0</v>
      </c>
      <c r="AE22" s="423">
        <f t="shared" si="64"/>
        <v>0</v>
      </c>
      <c r="AF22" s="423">
        <f t="shared" si="64"/>
        <v>0</v>
      </c>
      <c r="AG22" s="423">
        <f t="shared" si="64"/>
        <v>0</v>
      </c>
      <c r="AH22" s="423">
        <f t="shared" si="64"/>
        <v>0</v>
      </c>
      <c r="AI22" s="155">
        <v>0</v>
      </c>
      <c r="AJ22" s="156">
        <v>0</v>
      </c>
      <c r="AK22" s="163">
        <v>0</v>
      </c>
      <c r="AL22" s="424">
        <f t="shared" ref="AL22:AN26" si="90">AI22*$T22*10^-6</f>
        <v>0</v>
      </c>
      <c r="AM22" s="425">
        <f t="shared" si="90"/>
        <v>0</v>
      </c>
      <c r="AN22" s="426">
        <f t="shared" si="90"/>
        <v>0</v>
      </c>
      <c r="AO22" s="171">
        <v>0</v>
      </c>
      <c r="AP22" s="427">
        <f t="shared" si="10"/>
        <v>0</v>
      </c>
      <c r="AQ22" s="180" t="e">
        <v>#DIV/0!</v>
      </c>
      <c r="AR22" s="180" t="e">
        <v>#DIV/0!</v>
      </c>
      <c r="AS22" s="428" t="e">
        <f t="shared" ref="AS22:AS26" si="91">AQ22*T22/100</f>
        <v>#DIV/0!</v>
      </c>
      <c r="AT22" s="428" t="e">
        <f t="shared" ref="AT22:AT26" si="92">AR22*T22/100</f>
        <v>#DIV/0!</v>
      </c>
      <c r="AU22" s="180">
        <v>0</v>
      </c>
      <c r="AV22" s="429">
        <f t="shared" si="57"/>
        <v>0</v>
      </c>
      <c r="AW22" s="180">
        <v>0</v>
      </c>
      <c r="AX22" s="429">
        <f t="shared" si="58"/>
        <v>0</v>
      </c>
      <c r="AY22" s="194" t="e">
        <v>#DIV/0!</v>
      </c>
      <c r="AZ22" s="201" t="e">
        <v>#DIV/0!</v>
      </c>
      <c r="BA22" s="430" t="e">
        <f t="shared" ref="BA22:BA26" si="93">$AY22*$T22/100</f>
        <v>#DIV/0!</v>
      </c>
      <c r="BB22" s="431" t="e">
        <f t="shared" ref="BB22:BB26" si="94">$AZ22*$T22/100</f>
        <v>#DIV/0!</v>
      </c>
      <c r="BC22" s="432"/>
      <c r="BD22" s="433">
        <v>250</v>
      </c>
      <c r="BE22" s="419">
        <f>BD22/23</f>
        <v>10.869565217391305</v>
      </c>
      <c r="BF22" s="434"/>
      <c r="BG22" s="143"/>
      <c r="BH22" s="143"/>
      <c r="BI22" s="143"/>
      <c r="BJ22" s="143"/>
      <c r="BK22" s="435"/>
      <c r="BL22" s="435"/>
      <c r="BM22" s="421">
        <f t="shared" ref="BM22:BM26" si="95">BF22*$BE22/100</f>
        <v>0</v>
      </c>
      <c r="BN22" s="421">
        <f t="shared" si="65"/>
        <v>0</v>
      </c>
      <c r="BO22" s="421">
        <f t="shared" si="65"/>
        <v>0</v>
      </c>
      <c r="BP22" s="421">
        <f t="shared" si="65"/>
        <v>0</v>
      </c>
      <c r="BQ22" s="421">
        <f t="shared" si="65"/>
        <v>0</v>
      </c>
      <c r="BR22" s="421">
        <f t="shared" si="65"/>
        <v>0</v>
      </c>
      <c r="BS22" s="421">
        <f t="shared" si="65"/>
        <v>0</v>
      </c>
      <c r="BT22" s="433"/>
      <c r="BU22" s="422"/>
      <c r="BV22" s="155">
        <f t="shared" si="14"/>
        <v>0</v>
      </c>
      <c r="BW22" s="422">
        <f t="shared" si="15"/>
        <v>0</v>
      </c>
      <c r="BX22" s="194"/>
      <c r="BY22" s="201"/>
      <c r="BZ22" s="436">
        <f t="shared" si="16"/>
        <v>0</v>
      </c>
      <c r="CA22" s="437">
        <f t="shared" si="17"/>
        <v>0</v>
      </c>
      <c r="CB22" s="438"/>
      <c r="CC22" s="171">
        <f>(922.17-709.3)</f>
        <v>212.87</v>
      </c>
      <c r="CD22" s="439">
        <f>CC22/23</f>
        <v>9.2552173913043472</v>
      </c>
      <c r="CE22" s="155"/>
      <c r="CF22" s="156"/>
      <c r="CG22" s="156"/>
      <c r="CH22" s="156"/>
      <c r="CI22" s="156"/>
      <c r="CJ22" s="156"/>
      <c r="CK22" s="422"/>
      <c r="CL22" s="424">
        <f t="shared" ref="CL22:CL26" si="96">CE22*CD22/100</f>
        <v>0</v>
      </c>
      <c r="CM22" s="156">
        <f t="shared" si="18"/>
        <v>0</v>
      </c>
      <c r="CN22" s="156">
        <f t="shared" si="19"/>
        <v>0</v>
      </c>
      <c r="CO22" s="156">
        <f t="shared" si="20"/>
        <v>0</v>
      </c>
      <c r="CP22" s="156">
        <f t="shared" si="21"/>
        <v>0</v>
      </c>
      <c r="CQ22" s="425">
        <f t="shared" si="66"/>
        <v>0</v>
      </c>
      <c r="CR22" s="425">
        <f t="shared" si="67"/>
        <v>0</v>
      </c>
      <c r="CS22" s="425">
        <f t="shared" si="68"/>
        <v>0</v>
      </c>
      <c r="CT22" s="425">
        <f t="shared" si="69"/>
        <v>0</v>
      </c>
      <c r="CU22" s="425">
        <f t="shared" si="70"/>
        <v>0</v>
      </c>
      <c r="CV22" s="156">
        <f t="shared" si="27"/>
        <v>0</v>
      </c>
      <c r="CW22" s="425">
        <f t="shared" si="71"/>
        <v>0</v>
      </c>
      <c r="CX22" s="422">
        <f t="shared" si="29"/>
        <v>0</v>
      </c>
      <c r="CY22" s="171"/>
      <c r="CZ22" s="433">
        <f>(3971.6-3106.9)</f>
        <v>864.69999999999982</v>
      </c>
      <c r="DA22" s="419">
        <f>CZ22/23</f>
        <v>37.595652173913038</v>
      </c>
      <c r="DB22" s="155"/>
      <c r="DC22" s="156"/>
      <c r="DD22" s="156"/>
      <c r="DE22" s="156"/>
      <c r="DF22" s="156"/>
      <c r="DG22" s="422"/>
      <c r="DH22" s="424">
        <f t="shared" ref="DH22:DH26" si="97">DB$20*DA$20/100</f>
        <v>0</v>
      </c>
      <c r="DI22" s="424">
        <f t="shared" ref="DI22:DI26" si="98">DA22*DD22/100</f>
        <v>0</v>
      </c>
      <c r="DJ22" s="424">
        <f t="shared" ref="DJ22:DJ26" si="99">DD22*DA22/100</f>
        <v>0</v>
      </c>
      <c r="DK22" s="424">
        <f t="shared" ref="DK22:DK26" si="100">DE22*DA22/100</f>
        <v>0</v>
      </c>
      <c r="DL22" s="424">
        <f t="shared" ref="DL22:DL26" si="101">DF22*DA22/100</f>
        <v>0</v>
      </c>
      <c r="DM22" s="424">
        <f t="shared" si="72"/>
        <v>0</v>
      </c>
      <c r="DN22" s="436">
        <f t="shared" ref="DN22:DR26" si="102">(1*DH22)/(0.082*(273+28))</f>
        <v>0</v>
      </c>
      <c r="DO22" s="436">
        <f t="shared" si="102"/>
        <v>0</v>
      </c>
      <c r="DP22" s="436">
        <f t="shared" si="102"/>
        <v>0</v>
      </c>
      <c r="DQ22" s="436">
        <f t="shared" si="102"/>
        <v>0</v>
      </c>
      <c r="DR22" s="436">
        <f t="shared" si="102"/>
        <v>0</v>
      </c>
      <c r="DS22" s="432">
        <f t="shared" si="73"/>
        <v>0</v>
      </c>
      <c r="DT22" s="156"/>
      <c r="DU22" s="156"/>
      <c r="DV22" s="156"/>
      <c r="DW22" s="156"/>
      <c r="DX22" s="156"/>
      <c r="DY22" s="156"/>
      <c r="DZ22" s="440"/>
      <c r="EA22" s="441">
        <f t="shared" si="75"/>
        <v>100</v>
      </c>
      <c r="EB22" s="441"/>
      <c r="EC22" s="441">
        <f t="shared" si="76"/>
        <v>100</v>
      </c>
      <c r="ED22" s="440">
        <f t="shared" si="77"/>
        <v>100</v>
      </c>
      <c r="EE22" s="440">
        <f t="shared" si="78"/>
        <v>100</v>
      </c>
      <c r="EF22" s="440">
        <f t="shared" si="79"/>
        <v>100</v>
      </c>
      <c r="EG22" s="440">
        <f t="shared" si="79"/>
        <v>100</v>
      </c>
      <c r="EH22" s="442" t="e">
        <f>100*(P22-(BA22+BZ22))/P22</f>
        <v>#DIV/0!</v>
      </c>
      <c r="EI22" s="443" t="e">
        <f t="shared" si="30"/>
        <v>#DIV/0!</v>
      </c>
      <c r="EJ22" s="444">
        <f t="shared" si="80"/>
        <v>100</v>
      </c>
      <c r="EK22" s="445">
        <f t="shared" si="81"/>
        <v>1.4055949982608698</v>
      </c>
      <c r="EL22" s="446">
        <f>EK17+EK18+EK19+EK20+EK21+EK22</f>
        <v>8.1951981921040069</v>
      </c>
      <c r="EM22" s="447">
        <f t="shared" si="31"/>
        <v>5.7366387344728045</v>
      </c>
      <c r="EN22" s="448">
        <f t="shared" si="32"/>
        <v>1.6390396384208015</v>
      </c>
      <c r="EO22" s="449">
        <f t="shared" si="33"/>
        <v>0.81951981921040074</v>
      </c>
      <c r="EP22" s="443" t="e">
        <f t="shared" ref="EP22:EP26" si="103">EH22*P22/100</f>
        <v>#DIV/0!</v>
      </c>
      <c r="EQ22" s="450" t="e">
        <f t="shared" si="82"/>
        <v>#DIV/0!</v>
      </c>
      <c r="ER22" s="421" t="e">
        <f>100*(#REF!+$CM22)/$E22</f>
        <v>#REF!</v>
      </c>
      <c r="ES22" s="156" t="e">
        <f t="shared" si="34"/>
        <v>#REF!</v>
      </c>
      <c r="ET22" s="163" t="e">
        <f t="shared" si="35"/>
        <v>#REF!</v>
      </c>
      <c r="EU22" s="421" t="e">
        <f>100*($CO22+#REF!)/$E22</f>
        <v>#REF!</v>
      </c>
      <c r="EV22" s="156" t="e">
        <f t="shared" si="36"/>
        <v>#REF!</v>
      </c>
      <c r="EW22" s="163" t="e">
        <f t="shared" si="37"/>
        <v>#REF!</v>
      </c>
      <c r="EX22" s="424" t="e">
        <f>100*($CQ22+#REF!)/$E22</f>
        <v>#REF!</v>
      </c>
      <c r="EY22" s="156" t="e">
        <f t="shared" si="38"/>
        <v>#REF!</v>
      </c>
      <c r="EZ22" s="163" t="e">
        <f t="shared" si="39"/>
        <v>#REF!</v>
      </c>
      <c r="FA22" s="421" t="e">
        <f>100*($CS22+#REF!)/$E22</f>
        <v>#REF!</v>
      </c>
      <c r="FB22" s="156" t="e">
        <f t="shared" si="40"/>
        <v>#REF!</v>
      </c>
      <c r="FC22" s="163" t="e">
        <f t="shared" si="41"/>
        <v>#REF!</v>
      </c>
      <c r="FD22" s="421" t="e">
        <f>100*($CU22+#REF!)/$E22</f>
        <v>#REF!</v>
      </c>
      <c r="FE22" s="156" t="e">
        <f t="shared" si="42"/>
        <v>#REF!</v>
      </c>
      <c r="FF22" s="163" t="e">
        <f t="shared" si="43"/>
        <v>#REF!</v>
      </c>
      <c r="FG22" s="421" t="e">
        <f>100*($CW22+#REF!)/$E22</f>
        <v>#REF!</v>
      </c>
      <c r="FH22" s="156" t="e">
        <f t="shared" si="44"/>
        <v>#REF!</v>
      </c>
      <c r="FI22" s="163" t="e">
        <f t="shared" si="45"/>
        <v>#REF!</v>
      </c>
      <c r="FJ22" s="421" t="e">
        <f t="shared" si="83"/>
        <v>#DIV/0!</v>
      </c>
      <c r="FK22" s="163" t="e">
        <f t="shared" si="46"/>
        <v>#DIV/0!</v>
      </c>
      <c r="FL22" s="421" t="e">
        <f t="shared" si="84"/>
        <v>#DIV/0!</v>
      </c>
      <c r="FM22" s="422" t="e">
        <f t="shared" si="47"/>
        <v>#DIV/0!</v>
      </c>
      <c r="FN22" s="441">
        <f t="shared" si="48"/>
        <v>0</v>
      </c>
      <c r="FO22" s="440">
        <f t="shared" si="85"/>
        <v>0</v>
      </c>
      <c r="FP22" s="440">
        <f t="shared" si="49"/>
        <v>0</v>
      </c>
      <c r="FQ22" s="440">
        <f t="shared" si="50"/>
        <v>0</v>
      </c>
      <c r="FR22" s="440">
        <f t="shared" si="51"/>
        <v>0</v>
      </c>
      <c r="FS22" s="440" t="e">
        <f t="shared" si="86"/>
        <v>#REF!</v>
      </c>
      <c r="FT22" s="440">
        <f t="shared" si="52"/>
        <v>0</v>
      </c>
      <c r="FU22" s="440">
        <f t="shared" si="53"/>
        <v>0</v>
      </c>
      <c r="FV22" s="451" t="e">
        <f>(#REF!+#REF!+#REF!+#REF!+#REF!+#REF!+#REF!+$CX22+$CV22+$CT22+$CR22+$CP22+$CN22+$BV22+$AS22)/$K22</f>
        <v>#REF!</v>
      </c>
      <c r="FW22" s="440"/>
      <c r="FX22" s="451" t="e">
        <f t="shared" ref="FX22:FX26" si="104">$FS22/$FV22</f>
        <v>#REF!</v>
      </c>
      <c r="FY22" s="452" t="e">
        <f t="shared" si="55"/>
        <v>#DIV/0!</v>
      </c>
      <c r="FZ22" s="453" t="e">
        <f t="shared" si="87"/>
        <v>#DIV/0!</v>
      </c>
      <c r="GA22" s="454">
        <v>3</v>
      </c>
    </row>
    <row r="23" spans="2:183" x14ac:dyDescent="0.25">
      <c r="B23" s="344">
        <v>45647</v>
      </c>
      <c r="C23" s="456">
        <v>4</v>
      </c>
      <c r="D23" s="285"/>
      <c r="E23" s="40">
        <f t="shared" ref="E23:E26" si="105">D23/24</f>
        <v>0</v>
      </c>
      <c r="F23" s="457">
        <f t="shared" si="59"/>
        <v>0</v>
      </c>
      <c r="G23" s="457">
        <f t="shared" si="60"/>
        <v>0</v>
      </c>
      <c r="H23" s="261">
        <f t="shared" si="61"/>
        <v>0</v>
      </c>
      <c r="I23" s="219">
        <f t="shared" si="62"/>
        <v>0</v>
      </c>
      <c r="J23" s="247">
        <f t="shared" si="63"/>
        <v>0</v>
      </c>
      <c r="K23" s="219">
        <f t="shared" si="8"/>
        <v>0</v>
      </c>
      <c r="L23" s="245">
        <f t="shared" si="9"/>
        <v>0</v>
      </c>
      <c r="M23" s="40">
        <f t="shared" si="0"/>
        <v>0</v>
      </c>
      <c r="N23" s="244">
        <f t="shared" si="1"/>
        <v>0</v>
      </c>
      <c r="O23" s="247">
        <f t="shared" si="2"/>
        <v>0</v>
      </c>
      <c r="P23" s="261">
        <f t="shared" si="3"/>
        <v>0</v>
      </c>
      <c r="Q23" s="247">
        <f t="shared" si="4"/>
        <v>0</v>
      </c>
      <c r="R23" s="458"/>
      <c r="S23" s="459"/>
      <c r="T23" s="285">
        <f t="shared" si="88"/>
        <v>0</v>
      </c>
      <c r="U23" s="145">
        <v>0</v>
      </c>
      <c r="V23" s="132">
        <v>0</v>
      </c>
      <c r="W23" s="132">
        <v>0</v>
      </c>
      <c r="X23" s="132">
        <v>0</v>
      </c>
      <c r="Y23" s="132">
        <v>0</v>
      </c>
      <c r="Z23" s="132">
        <v>0</v>
      </c>
      <c r="AA23" s="133">
        <v>0</v>
      </c>
      <c r="AB23" s="251">
        <f t="shared" si="89"/>
        <v>0</v>
      </c>
      <c r="AC23" s="251">
        <f t="shared" si="64"/>
        <v>0</v>
      </c>
      <c r="AD23" s="251">
        <f t="shared" si="64"/>
        <v>0</v>
      </c>
      <c r="AE23" s="251">
        <f t="shared" si="64"/>
        <v>0</v>
      </c>
      <c r="AF23" s="251">
        <f t="shared" si="64"/>
        <v>0</v>
      </c>
      <c r="AG23" s="251">
        <f t="shared" si="64"/>
        <v>0</v>
      </c>
      <c r="AH23" s="251">
        <f t="shared" si="64"/>
        <v>0</v>
      </c>
      <c r="AI23" s="157">
        <v>0</v>
      </c>
      <c r="AJ23" s="158">
        <v>0</v>
      </c>
      <c r="AK23" s="164">
        <v>0</v>
      </c>
      <c r="AL23" s="348">
        <f t="shared" si="90"/>
        <v>0</v>
      </c>
      <c r="AM23" s="349">
        <f t="shared" si="90"/>
        <v>0</v>
      </c>
      <c r="AN23" s="350">
        <f t="shared" si="90"/>
        <v>0</v>
      </c>
      <c r="AO23" s="172">
        <v>0</v>
      </c>
      <c r="AP23" s="253">
        <f t="shared" si="10"/>
        <v>0</v>
      </c>
      <c r="AQ23" s="178" t="e">
        <v>#DIV/0!</v>
      </c>
      <c r="AR23" s="178" t="e">
        <v>#DIV/0!</v>
      </c>
      <c r="AS23" s="389" t="e">
        <f t="shared" si="91"/>
        <v>#DIV/0!</v>
      </c>
      <c r="AT23" s="389" t="e">
        <f t="shared" si="92"/>
        <v>#DIV/0!</v>
      </c>
      <c r="AU23" s="178">
        <v>0</v>
      </c>
      <c r="AV23" s="356">
        <f t="shared" si="57"/>
        <v>0</v>
      </c>
      <c r="AW23" s="178">
        <v>0</v>
      </c>
      <c r="AX23" s="356">
        <f t="shared" si="58"/>
        <v>0</v>
      </c>
      <c r="AY23" s="190" t="e">
        <v>#DIV/0!</v>
      </c>
      <c r="AZ23" s="197" t="e">
        <v>#DIV/0!</v>
      </c>
      <c r="BA23" s="257" t="e">
        <f t="shared" si="93"/>
        <v>#DIV/0!</v>
      </c>
      <c r="BB23" s="258" t="e">
        <f t="shared" si="94"/>
        <v>#DIV/0!</v>
      </c>
      <c r="BC23" s="357"/>
      <c r="BD23" s="460"/>
      <c r="BE23" s="40">
        <f t="shared" ref="BE23:BE26" si="106">BD23/24</f>
        <v>0</v>
      </c>
      <c r="BF23" s="461"/>
      <c r="BG23" s="132"/>
      <c r="BH23" s="132"/>
      <c r="BI23" s="132"/>
      <c r="BJ23" s="132"/>
      <c r="BK23" s="462"/>
      <c r="BL23" s="462"/>
      <c r="BM23" s="261">
        <f t="shared" si="95"/>
        <v>0</v>
      </c>
      <c r="BN23" s="261">
        <f t="shared" si="65"/>
        <v>0</v>
      </c>
      <c r="BO23" s="261">
        <f t="shared" si="65"/>
        <v>0</v>
      </c>
      <c r="BP23" s="261">
        <f t="shared" si="65"/>
        <v>0</v>
      </c>
      <c r="BQ23" s="261">
        <f t="shared" si="65"/>
        <v>0</v>
      </c>
      <c r="BR23" s="261">
        <f t="shared" si="65"/>
        <v>0</v>
      </c>
      <c r="BS23" s="261">
        <f t="shared" si="65"/>
        <v>0</v>
      </c>
      <c r="BT23" s="262"/>
      <c r="BU23" s="263"/>
      <c r="BV23" s="244">
        <f t="shared" si="14"/>
        <v>0</v>
      </c>
      <c r="BW23" s="245">
        <f t="shared" si="15"/>
        <v>0</v>
      </c>
      <c r="BX23" s="190"/>
      <c r="BY23" s="197"/>
      <c r="BZ23" s="265">
        <f t="shared" si="16"/>
        <v>0</v>
      </c>
      <c r="CA23" s="266">
        <f t="shared" si="17"/>
        <v>0</v>
      </c>
      <c r="CB23" s="362"/>
      <c r="CC23" s="463"/>
      <c r="CD23" s="242">
        <f t="shared" ref="CD23:CD26" si="107">CC23/24</f>
        <v>0</v>
      </c>
      <c r="CE23" s="157"/>
      <c r="CF23" s="158"/>
      <c r="CG23" s="158"/>
      <c r="CH23" s="158"/>
      <c r="CI23" s="158"/>
      <c r="CJ23" s="158"/>
      <c r="CK23" s="263"/>
      <c r="CL23" s="348">
        <f t="shared" si="96"/>
        <v>0</v>
      </c>
      <c r="CM23" s="219">
        <f t="shared" si="18"/>
        <v>0</v>
      </c>
      <c r="CN23" s="219">
        <f t="shared" si="19"/>
        <v>0</v>
      </c>
      <c r="CO23" s="219">
        <f t="shared" si="20"/>
        <v>0</v>
      </c>
      <c r="CP23" s="219">
        <f t="shared" si="21"/>
        <v>0</v>
      </c>
      <c r="CQ23" s="349">
        <f t="shared" si="66"/>
        <v>0</v>
      </c>
      <c r="CR23" s="349">
        <f t="shared" si="67"/>
        <v>0</v>
      </c>
      <c r="CS23" s="349">
        <f t="shared" si="68"/>
        <v>0</v>
      </c>
      <c r="CT23" s="349">
        <f t="shared" si="69"/>
        <v>0</v>
      </c>
      <c r="CU23" s="349">
        <f t="shared" si="70"/>
        <v>0</v>
      </c>
      <c r="CV23" s="219">
        <f t="shared" si="27"/>
        <v>0</v>
      </c>
      <c r="CW23" s="349">
        <f t="shared" si="71"/>
        <v>0</v>
      </c>
      <c r="CX23" s="245">
        <f t="shared" si="29"/>
        <v>0</v>
      </c>
      <c r="CY23" s="464"/>
      <c r="CZ23" s="465"/>
      <c r="DA23" s="40">
        <f t="shared" ref="DA23:DA26" si="108">CZ23/24</f>
        <v>0</v>
      </c>
      <c r="DB23" s="157"/>
      <c r="DC23" s="158"/>
      <c r="DD23" s="158"/>
      <c r="DE23" s="158"/>
      <c r="DF23" s="158"/>
      <c r="DG23" s="263"/>
      <c r="DH23" s="348">
        <f t="shared" si="97"/>
        <v>0</v>
      </c>
      <c r="DI23" s="348">
        <f t="shared" si="98"/>
        <v>0</v>
      </c>
      <c r="DJ23" s="348">
        <f t="shared" si="99"/>
        <v>0</v>
      </c>
      <c r="DK23" s="348">
        <f t="shared" si="100"/>
        <v>0</v>
      </c>
      <c r="DL23" s="348">
        <f t="shared" si="101"/>
        <v>0</v>
      </c>
      <c r="DM23" s="348">
        <f t="shared" si="72"/>
        <v>0</v>
      </c>
      <c r="DN23" s="265">
        <f t="shared" si="102"/>
        <v>0</v>
      </c>
      <c r="DO23" s="265">
        <f t="shared" si="102"/>
        <v>0</v>
      </c>
      <c r="DP23" s="265">
        <f t="shared" si="102"/>
        <v>0</v>
      </c>
      <c r="DQ23" s="265">
        <f t="shared" si="102"/>
        <v>0</v>
      </c>
      <c r="DR23" s="265">
        <f t="shared" si="102"/>
        <v>0</v>
      </c>
      <c r="DS23" s="366">
        <f t="shared" si="73"/>
        <v>0</v>
      </c>
      <c r="DT23" s="219"/>
      <c r="DU23" s="219"/>
      <c r="DV23" s="219"/>
      <c r="DW23" s="219"/>
      <c r="DX23" s="219"/>
      <c r="DY23" s="219"/>
      <c r="DZ23" s="367"/>
      <c r="EA23" s="99" t="e">
        <f t="shared" si="75"/>
        <v>#DIV/0!</v>
      </c>
      <c r="EB23" s="99"/>
      <c r="EC23" s="99" t="e">
        <f t="shared" si="76"/>
        <v>#DIV/0!</v>
      </c>
      <c r="ED23" s="48" t="e">
        <f t="shared" si="77"/>
        <v>#DIV/0!</v>
      </c>
      <c r="EE23" s="48" t="e">
        <f t="shared" si="78"/>
        <v>#DIV/0!</v>
      </c>
      <c r="EF23" s="48" t="e">
        <f t="shared" si="79"/>
        <v>#DIV/0!</v>
      </c>
      <c r="EG23" s="48" t="e">
        <f t="shared" si="79"/>
        <v>#DIV/0!</v>
      </c>
      <c r="EH23" s="85" t="e">
        <f>100*(P23-(BA23+BZ23))/P23</f>
        <v>#DIV/0!</v>
      </c>
      <c r="EI23" s="276" t="e">
        <f t="shared" si="30"/>
        <v>#DIV/0!</v>
      </c>
      <c r="EJ23" s="466" t="e">
        <f t="shared" si="80"/>
        <v>#DIV/0!</v>
      </c>
      <c r="EK23" s="278">
        <f t="shared" si="81"/>
        <v>0</v>
      </c>
      <c r="EL23" s="274">
        <f>EK17+EK18+EK19+EK20+EK21+EK22+EK23</f>
        <v>8.1951981921040069</v>
      </c>
      <c r="EM23" s="277">
        <f t="shared" si="31"/>
        <v>5.7366387344728045</v>
      </c>
      <c r="EN23" s="272">
        <f t="shared" si="32"/>
        <v>1.6390396384208015</v>
      </c>
      <c r="EO23" s="279">
        <f t="shared" si="33"/>
        <v>0.81951981921040074</v>
      </c>
      <c r="EP23" s="276" t="e">
        <f t="shared" si="103"/>
        <v>#DIV/0!</v>
      </c>
      <c r="EQ23" s="273" t="e">
        <f t="shared" si="82"/>
        <v>#DIV/0!</v>
      </c>
      <c r="ER23" s="261" t="e">
        <f>100*(#REF!+$CM23)/$E23</f>
        <v>#REF!</v>
      </c>
      <c r="ES23" s="219" t="e">
        <f t="shared" si="34"/>
        <v>#REF!</v>
      </c>
      <c r="ET23" s="247" t="e">
        <f t="shared" si="35"/>
        <v>#REF!</v>
      </c>
      <c r="EU23" s="261" t="e">
        <f>100*($CO23+#REF!)/$E23</f>
        <v>#REF!</v>
      </c>
      <c r="EV23" s="219" t="e">
        <f t="shared" si="36"/>
        <v>#REF!</v>
      </c>
      <c r="EW23" s="247" t="e">
        <f t="shared" si="37"/>
        <v>#REF!</v>
      </c>
      <c r="EX23" s="348" t="e">
        <f>100*($CQ23+#REF!)/$E23</f>
        <v>#REF!</v>
      </c>
      <c r="EY23" s="219" t="e">
        <f t="shared" si="38"/>
        <v>#REF!</v>
      </c>
      <c r="EZ23" s="247" t="e">
        <f t="shared" si="39"/>
        <v>#REF!</v>
      </c>
      <c r="FA23" s="261" t="e">
        <f>100*($CS23+#REF!)/$E23</f>
        <v>#REF!</v>
      </c>
      <c r="FB23" s="219" t="e">
        <f t="shared" si="40"/>
        <v>#REF!</v>
      </c>
      <c r="FC23" s="247" t="e">
        <f t="shared" si="41"/>
        <v>#REF!</v>
      </c>
      <c r="FD23" s="261" t="e">
        <f>100*($CU23+#REF!)/$E23</f>
        <v>#REF!</v>
      </c>
      <c r="FE23" s="219" t="e">
        <f t="shared" si="42"/>
        <v>#REF!</v>
      </c>
      <c r="FF23" s="247" t="e">
        <f t="shared" si="43"/>
        <v>#REF!</v>
      </c>
      <c r="FG23" s="261" t="e">
        <f>100*($CW23+#REF!)/$E23</f>
        <v>#REF!</v>
      </c>
      <c r="FH23" s="219" t="e">
        <f t="shared" si="44"/>
        <v>#REF!</v>
      </c>
      <c r="FI23" s="247" t="e">
        <f t="shared" si="45"/>
        <v>#REF!</v>
      </c>
      <c r="FJ23" s="280" t="e">
        <f t="shared" si="83"/>
        <v>#DIV/0!</v>
      </c>
      <c r="FK23" s="281" t="e">
        <f t="shared" si="46"/>
        <v>#DIV/0!</v>
      </c>
      <c r="FL23" s="282" t="e">
        <f t="shared" si="84"/>
        <v>#DIV/0!</v>
      </c>
      <c r="FM23" s="283" t="e">
        <f t="shared" si="47"/>
        <v>#DIV/0!</v>
      </c>
      <c r="FN23" s="99" t="e">
        <f t="shared" si="48"/>
        <v>#DIV/0!</v>
      </c>
      <c r="FO23" s="48" t="e">
        <f t="shared" si="85"/>
        <v>#DIV/0!</v>
      </c>
      <c r="FP23" s="48" t="e">
        <f t="shared" si="49"/>
        <v>#DIV/0!</v>
      </c>
      <c r="FQ23" s="48" t="e">
        <f t="shared" si="50"/>
        <v>#DIV/0!</v>
      </c>
      <c r="FR23" s="48" t="e">
        <f t="shared" si="51"/>
        <v>#DIV/0!</v>
      </c>
      <c r="FS23" s="48" t="e">
        <f t="shared" si="86"/>
        <v>#REF!</v>
      </c>
      <c r="FT23" s="48" t="e">
        <f t="shared" si="52"/>
        <v>#DIV/0!</v>
      </c>
      <c r="FU23" s="48" t="e">
        <f t="shared" si="53"/>
        <v>#DIV/0!</v>
      </c>
      <c r="FV23" s="370" t="e">
        <f>(#REF!+#REF!+#REF!+#REF!+#REF!+#REF!+#REF!+$CX23+$CV23+$CT23+$CR23+$CP23+$CN23+$BV23+$AS23)/$K23</f>
        <v>#REF!</v>
      </c>
      <c r="FW23" s="48"/>
      <c r="FX23" s="370" t="e">
        <f t="shared" si="104"/>
        <v>#REF!</v>
      </c>
      <c r="FY23" s="372" t="e">
        <f t="shared" si="55"/>
        <v>#DIV/0!</v>
      </c>
      <c r="FZ23" s="287" t="e">
        <f t="shared" si="87"/>
        <v>#DIV/0!</v>
      </c>
      <c r="GA23" s="373">
        <v>4</v>
      </c>
    </row>
    <row r="24" spans="2:183" x14ac:dyDescent="0.25">
      <c r="B24" s="344">
        <v>45648</v>
      </c>
      <c r="C24" s="456">
        <v>5</v>
      </c>
      <c r="D24" s="285"/>
      <c r="E24" s="40">
        <f t="shared" si="105"/>
        <v>0</v>
      </c>
      <c r="F24" s="457">
        <f t="shared" si="59"/>
        <v>0</v>
      </c>
      <c r="G24" s="457">
        <f t="shared" si="60"/>
        <v>0</v>
      </c>
      <c r="H24" s="261">
        <f t="shared" si="61"/>
        <v>0</v>
      </c>
      <c r="I24" s="219">
        <f t="shared" si="62"/>
        <v>0</v>
      </c>
      <c r="J24" s="247">
        <f t="shared" si="63"/>
        <v>0</v>
      </c>
      <c r="K24" s="219">
        <f t="shared" si="8"/>
        <v>0</v>
      </c>
      <c r="L24" s="245">
        <f t="shared" si="9"/>
        <v>0</v>
      </c>
      <c r="M24" s="40">
        <f t="shared" si="0"/>
        <v>0</v>
      </c>
      <c r="N24" s="244">
        <f t="shared" si="1"/>
        <v>0</v>
      </c>
      <c r="O24" s="247">
        <f t="shared" si="2"/>
        <v>0</v>
      </c>
      <c r="P24" s="261">
        <f t="shared" si="3"/>
        <v>0</v>
      </c>
      <c r="Q24" s="247">
        <f t="shared" si="4"/>
        <v>0</v>
      </c>
      <c r="R24" s="458"/>
      <c r="S24" s="459"/>
      <c r="T24" s="285">
        <f t="shared" si="88"/>
        <v>0</v>
      </c>
      <c r="U24" s="145">
        <v>0</v>
      </c>
      <c r="V24" s="132">
        <v>0</v>
      </c>
      <c r="W24" s="132">
        <v>0</v>
      </c>
      <c r="X24" s="132">
        <v>0</v>
      </c>
      <c r="Y24" s="132">
        <v>0</v>
      </c>
      <c r="Z24" s="132">
        <v>0</v>
      </c>
      <c r="AA24" s="133">
        <v>0</v>
      </c>
      <c r="AB24" s="251">
        <f t="shared" si="89"/>
        <v>0</v>
      </c>
      <c r="AC24" s="251">
        <f t="shared" si="64"/>
        <v>0</v>
      </c>
      <c r="AD24" s="251">
        <f t="shared" si="64"/>
        <v>0</v>
      </c>
      <c r="AE24" s="251">
        <f t="shared" si="64"/>
        <v>0</v>
      </c>
      <c r="AF24" s="251">
        <f t="shared" si="64"/>
        <v>0</v>
      </c>
      <c r="AG24" s="251">
        <f t="shared" si="64"/>
        <v>0</v>
      </c>
      <c r="AH24" s="251">
        <f t="shared" si="64"/>
        <v>0</v>
      </c>
      <c r="AI24" s="157">
        <v>0</v>
      </c>
      <c r="AJ24" s="158">
        <v>0</v>
      </c>
      <c r="AK24" s="164">
        <v>0</v>
      </c>
      <c r="AL24" s="348">
        <f t="shared" si="90"/>
        <v>0</v>
      </c>
      <c r="AM24" s="349">
        <f t="shared" si="90"/>
        <v>0</v>
      </c>
      <c r="AN24" s="350">
        <f t="shared" si="90"/>
        <v>0</v>
      </c>
      <c r="AO24" s="172">
        <v>0</v>
      </c>
      <c r="AP24" s="253">
        <f t="shared" si="10"/>
        <v>0</v>
      </c>
      <c r="AQ24" s="178" t="e">
        <v>#DIV/0!</v>
      </c>
      <c r="AR24" s="178" t="e">
        <v>#DIV/0!</v>
      </c>
      <c r="AS24" s="389" t="e">
        <f t="shared" si="91"/>
        <v>#DIV/0!</v>
      </c>
      <c r="AT24" s="389" t="e">
        <f t="shared" si="92"/>
        <v>#DIV/0!</v>
      </c>
      <c r="AU24" s="178">
        <v>0</v>
      </c>
      <c r="AV24" s="356">
        <f t="shared" si="57"/>
        <v>0</v>
      </c>
      <c r="AW24" s="178">
        <v>0</v>
      </c>
      <c r="AX24" s="356">
        <f t="shared" si="58"/>
        <v>0</v>
      </c>
      <c r="AY24" s="190" t="e">
        <v>#DIV/0!</v>
      </c>
      <c r="AZ24" s="197" t="e">
        <v>#DIV/0!</v>
      </c>
      <c r="BA24" s="257" t="e">
        <f t="shared" si="93"/>
        <v>#DIV/0!</v>
      </c>
      <c r="BB24" s="258" t="e">
        <f t="shared" si="94"/>
        <v>#DIV/0!</v>
      </c>
      <c r="BC24" s="357"/>
      <c r="BD24" s="460"/>
      <c r="BE24" s="40">
        <f t="shared" si="106"/>
        <v>0</v>
      </c>
      <c r="BF24" s="461"/>
      <c r="BG24" s="132"/>
      <c r="BH24" s="132"/>
      <c r="BI24" s="132"/>
      <c r="BJ24" s="132"/>
      <c r="BK24" s="462"/>
      <c r="BL24" s="462"/>
      <c r="BM24" s="261">
        <f t="shared" si="95"/>
        <v>0</v>
      </c>
      <c r="BN24" s="261">
        <f t="shared" si="65"/>
        <v>0</v>
      </c>
      <c r="BO24" s="261">
        <f t="shared" si="65"/>
        <v>0</v>
      </c>
      <c r="BP24" s="261">
        <f t="shared" si="65"/>
        <v>0</v>
      </c>
      <c r="BQ24" s="261">
        <f t="shared" si="65"/>
        <v>0</v>
      </c>
      <c r="BR24" s="261">
        <f t="shared" si="65"/>
        <v>0</v>
      </c>
      <c r="BS24" s="261">
        <f t="shared" si="65"/>
        <v>0</v>
      </c>
      <c r="BT24" s="262"/>
      <c r="BU24" s="263"/>
      <c r="BV24" s="244">
        <f t="shared" si="14"/>
        <v>0</v>
      </c>
      <c r="BW24" s="245">
        <f t="shared" si="15"/>
        <v>0</v>
      </c>
      <c r="BX24" s="190"/>
      <c r="BY24" s="197"/>
      <c r="BZ24" s="265">
        <f t="shared" si="16"/>
        <v>0</v>
      </c>
      <c r="CA24" s="266">
        <f t="shared" si="17"/>
        <v>0</v>
      </c>
      <c r="CB24" s="362"/>
      <c r="CC24" s="463"/>
      <c r="CD24" s="242">
        <f t="shared" si="107"/>
        <v>0</v>
      </c>
      <c r="CE24" s="157"/>
      <c r="CF24" s="158"/>
      <c r="CG24" s="158"/>
      <c r="CH24" s="158"/>
      <c r="CI24" s="158"/>
      <c r="CJ24" s="158"/>
      <c r="CK24" s="263"/>
      <c r="CL24" s="348">
        <f t="shared" si="96"/>
        <v>0</v>
      </c>
      <c r="CM24" s="219">
        <f t="shared" si="18"/>
        <v>0</v>
      </c>
      <c r="CN24" s="219">
        <f t="shared" si="19"/>
        <v>0</v>
      </c>
      <c r="CO24" s="219">
        <f t="shared" si="20"/>
        <v>0</v>
      </c>
      <c r="CP24" s="219">
        <f t="shared" si="21"/>
        <v>0</v>
      </c>
      <c r="CQ24" s="349">
        <f t="shared" si="66"/>
        <v>0</v>
      </c>
      <c r="CR24" s="349">
        <f t="shared" si="67"/>
        <v>0</v>
      </c>
      <c r="CS24" s="349">
        <f t="shared" si="68"/>
        <v>0</v>
      </c>
      <c r="CT24" s="349">
        <f t="shared" si="69"/>
        <v>0</v>
      </c>
      <c r="CU24" s="349">
        <f t="shared" si="70"/>
        <v>0</v>
      </c>
      <c r="CV24" s="219">
        <f t="shared" si="27"/>
        <v>0</v>
      </c>
      <c r="CW24" s="349">
        <f t="shared" si="71"/>
        <v>0</v>
      </c>
      <c r="CX24" s="245">
        <f t="shared" si="29"/>
        <v>0</v>
      </c>
      <c r="CY24" s="464"/>
      <c r="CZ24" s="465"/>
      <c r="DA24" s="40">
        <f t="shared" si="108"/>
        <v>0</v>
      </c>
      <c r="DB24" s="157"/>
      <c r="DC24" s="158"/>
      <c r="DD24" s="158"/>
      <c r="DE24" s="158"/>
      <c r="DF24" s="158"/>
      <c r="DG24" s="263"/>
      <c r="DH24" s="348">
        <f t="shared" si="97"/>
        <v>0</v>
      </c>
      <c r="DI24" s="348">
        <f t="shared" si="98"/>
        <v>0</v>
      </c>
      <c r="DJ24" s="348">
        <f t="shared" si="99"/>
        <v>0</v>
      </c>
      <c r="DK24" s="348">
        <f t="shared" si="100"/>
        <v>0</v>
      </c>
      <c r="DL24" s="348">
        <f t="shared" si="101"/>
        <v>0</v>
      </c>
      <c r="DM24" s="348">
        <f t="shared" si="72"/>
        <v>0</v>
      </c>
      <c r="DN24" s="265">
        <f t="shared" si="102"/>
        <v>0</v>
      </c>
      <c r="DO24" s="265">
        <f t="shared" si="102"/>
        <v>0</v>
      </c>
      <c r="DP24" s="265">
        <f t="shared" si="102"/>
        <v>0</v>
      </c>
      <c r="DQ24" s="265">
        <f t="shared" si="102"/>
        <v>0</v>
      </c>
      <c r="DR24" s="265">
        <f t="shared" si="102"/>
        <v>0</v>
      </c>
      <c r="DS24" s="366">
        <f t="shared" si="73"/>
        <v>0</v>
      </c>
      <c r="DT24" s="219"/>
      <c r="DU24" s="219"/>
      <c r="DV24" s="219"/>
      <c r="DW24" s="219"/>
      <c r="DX24" s="219"/>
      <c r="DY24" s="219"/>
      <c r="DZ24" s="367"/>
      <c r="EA24" s="99" t="e">
        <f t="shared" si="75"/>
        <v>#DIV/0!</v>
      </c>
      <c r="EB24" s="99"/>
      <c r="EC24" s="99" t="e">
        <f t="shared" si="76"/>
        <v>#DIV/0!</v>
      </c>
      <c r="ED24" s="48" t="e">
        <f t="shared" si="77"/>
        <v>#DIV/0!</v>
      </c>
      <c r="EE24" s="48" t="e">
        <f t="shared" si="78"/>
        <v>#DIV/0!</v>
      </c>
      <c r="EF24" s="48" t="e">
        <f t="shared" si="79"/>
        <v>#DIV/0!</v>
      </c>
      <c r="EG24" s="48" t="e">
        <f t="shared" si="79"/>
        <v>#DIV/0!</v>
      </c>
      <c r="EH24" s="85" t="e">
        <f>100*(P24-(BA24+BZ24))/P24</f>
        <v>#DIV/0!</v>
      </c>
      <c r="EI24" s="276" t="e">
        <f t="shared" si="30"/>
        <v>#DIV/0!</v>
      </c>
      <c r="EJ24" s="466" t="e">
        <f t="shared" si="80"/>
        <v>#DIV/0!</v>
      </c>
      <c r="EK24" s="278">
        <f t="shared" si="81"/>
        <v>0</v>
      </c>
      <c r="EL24" s="274">
        <f>EK17+EK18+EK19+EK20+EK21+EK22+EK23+EK24</f>
        <v>8.1951981921040069</v>
      </c>
      <c r="EM24" s="277">
        <f t="shared" si="31"/>
        <v>5.7366387344728045</v>
      </c>
      <c r="EN24" s="272">
        <f t="shared" si="32"/>
        <v>1.6390396384208015</v>
      </c>
      <c r="EO24" s="279">
        <f t="shared" si="33"/>
        <v>0.81951981921040074</v>
      </c>
      <c r="EP24" s="276" t="e">
        <f t="shared" si="103"/>
        <v>#DIV/0!</v>
      </c>
      <c r="EQ24" s="273" t="e">
        <f t="shared" si="82"/>
        <v>#DIV/0!</v>
      </c>
      <c r="ER24" s="261" t="e">
        <f>100*(#REF!+$CM24)/$E24</f>
        <v>#REF!</v>
      </c>
      <c r="ES24" s="219" t="e">
        <f t="shared" si="34"/>
        <v>#REF!</v>
      </c>
      <c r="ET24" s="247" t="e">
        <f t="shared" si="35"/>
        <v>#REF!</v>
      </c>
      <c r="EU24" s="261" t="e">
        <f>100*($CO24+#REF!)/$E24</f>
        <v>#REF!</v>
      </c>
      <c r="EV24" s="219" t="e">
        <f t="shared" si="36"/>
        <v>#REF!</v>
      </c>
      <c r="EW24" s="247" t="e">
        <f t="shared" si="37"/>
        <v>#REF!</v>
      </c>
      <c r="EX24" s="348" t="e">
        <f>100*($CQ24+#REF!)/$E24</f>
        <v>#REF!</v>
      </c>
      <c r="EY24" s="219" t="e">
        <f t="shared" si="38"/>
        <v>#REF!</v>
      </c>
      <c r="EZ24" s="247" t="e">
        <f t="shared" si="39"/>
        <v>#REF!</v>
      </c>
      <c r="FA24" s="261" t="e">
        <f>100*($CS24+#REF!)/$E24</f>
        <v>#REF!</v>
      </c>
      <c r="FB24" s="219" t="e">
        <f t="shared" si="40"/>
        <v>#REF!</v>
      </c>
      <c r="FC24" s="247" t="e">
        <f t="shared" si="41"/>
        <v>#REF!</v>
      </c>
      <c r="FD24" s="261" t="e">
        <f>100*($CU24+#REF!)/$E24</f>
        <v>#REF!</v>
      </c>
      <c r="FE24" s="219" t="e">
        <f t="shared" si="42"/>
        <v>#REF!</v>
      </c>
      <c r="FF24" s="247" t="e">
        <f t="shared" si="43"/>
        <v>#REF!</v>
      </c>
      <c r="FG24" s="261" t="e">
        <f>100*($CW24+#REF!)/$E24</f>
        <v>#REF!</v>
      </c>
      <c r="FH24" s="219" t="e">
        <f t="shared" si="44"/>
        <v>#REF!</v>
      </c>
      <c r="FI24" s="247" t="e">
        <f t="shared" si="45"/>
        <v>#REF!</v>
      </c>
      <c r="FJ24" s="280" t="e">
        <f t="shared" si="83"/>
        <v>#DIV/0!</v>
      </c>
      <c r="FK24" s="281" t="e">
        <f t="shared" si="46"/>
        <v>#DIV/0!</v>
      </c>
      <c r="FL24" s="282" t="e">
        <f t="shared" si="84"/>
        <v>#DIV/0!</v>
      </c>
      <c r="FM24" s="283" t="e">
        <f t="shared" si="47"/>
        <v>#DIV/0!</v>
      </c>
      <c r="FN24" s="99" t="e">
        <f t="shared" si="48"/>
        <v>#DIV/0!</v>
      </c>
      <c r="FO24" s="48" t="e">
        <f t="shared" si="85"/>
        <v>#DIV/0!</v>
      </c>
      <c r="FP24" s="48" t="e">
        <f t="shared" si="49"/>
        <v>#DIV/0!</v>
      </c>
      <c r="FQ24" s="48" t="e">
        <f t="shared" si="50"/>
        <v>#DIV/0!</v>
      </c>
      <c r="FR24" s="48" t="e">
        <f t="shared" si="51"/>
        <v>#DIV/0!</v>
      </c>
      <c r="FS24" s="48" t="e">
        <f t="shared" si="86"/>
        <v>#REF!</v>
      </c>
      <c r="FT24" s="48" t="e">
        <f t="shared" si="52"/>
        <v>#DIV/0!</v>
      </c>
      <c r="FU24" s="48" t="e">
        <f t="shared" si="53"/>
        <v>#DIV/0!</v>
      </c>
      <c r="FV24" s="370" t="e">
        <f>(#REF!+#REF!+#REF!+#REF!+#REF!+#REF!+#REF!+$CX24+$CV24+$CT24+$CR24+$CP24+$CN24+$BV24+$AS24)/$K24</f>
        <v>#REF!</v>
      </c>
      <c r="FW24" s="48"/>
      <c r="FX24" s="370" t="e">
        <f t="shared" si="104"/>
        <v>#REF!</v>
      </c>
      <c r="FY24" s="467" t="e">
        <f t="shared" si="55"/>
        <v>#DIV/0!</v>
      </c>
      <c r="FZ24" s="287" t="e">
        <f t="shared" si="87"/>
        <v>#DIV/0!</v>
      </c>
      <c r="GA24" s="373">
        <v>5</v>
      </c>
    </row>
    <row r="25" spans="2:183" x14ac:dyDescent="0.25">
      <c r="B25" s="344">
        <v>45649</v>
      </c>
      <c r="C25" s="456">
        <v>6</v>
      </c>
      <c r="D25" s="285"/>
      <c r="E25" s="40">
        <f t="shared" si="105"/>
        <v>0</v>
      </c>
      <c r="F25" s="457">
        <f t="shared" si="59"/>
        <v>0</v>
      </c>
      <c r="G25" s="457">
        <f t="shared" si="60"/>
        <v>0</v>
      </c>
      <c r="H25" s="261">
        <f t="shared" si="61"/>
        <v>0</v>
      </c>
      <c r="I25" s="219">
        <f t="shared" si="62"/>
        <v>0</v>
      </c>
      <c r="J25" s="247">
        <f t="shared" si="63"/>
        <v>0</v>
      </c>
      <c r="K25" s="219">
        <f t="shared" si="8"/>
        <v>0</v>
      </c>
      <c r="L25" s="245">
        <f t="shared" si="9"/>
        <v>0</v>
      </c>
      <c r="M25" s="40">
        <f t="shared" si="0"/>
        <v>0</v>
      </c>
      <c r="N25" s="244">
        <f t="shared" si="1"/>
        <v>0</v>
      </c>
      <c r="O25" s="247">
        <f t="shared" si="2"/>
        <v>0</v>
      </c>
      <c r="P25" s="261">
        <f t="shared" si="3"/>
        <v>0</v>
      </c>
      <c r="Q25" s="247">
        <f t="shared" si="4"/>
        <v>0</v>
      </c>
      <c r="R25" s="458"/>
      <c r="S25" s="459"/>
      <c r="T25" s="285">
        <f t="shared" si="88"/>
        <v>0</v>
      </c>
      <c r="U25" s="145">
        <v>0</v>
      </c>
      <c r="V25" s="132">
        <v>0</v>
      </c>
      <c r="W25" s="132">
        <v>0</v>
      </c>
      <c r="X25" s="132">
        <v>0</v>
      </c>
      <c r="Y25" s="132">
        <v>0</v>
      </c>
      <c r="Z25" s="132">
        <v>0</v>
      </c>
      <c r="AA25" s="133">
        <v>0</v>
      </c>
      <c r="AB25" s="251">
        <f t="shared" si="89"/>
        <v>0</v>
      </c>
      <c r="AC25" s="251">
        <f t="shared" si="64"/>
        <v>0</v>
      </c>
      <c r="AD25" s="251">
        <f t="shared" si="64"/>
        <v>0</v>
      </c>
      <c r="AE25" s="251">
        <f t="shared" si="64"/>
        <v>0</v>
      </c>
      <c r="AF25" s="251">
        <f t="shared" si="64"/>
        <v>0</v>
      </c>
      <c r="AG25" s="251">
        <f t="shared" si="64"/>
        <v>0</v>
      </c>
      <c r="AH25" s="251">
        <f t="shared" si="64"/>
        <v>0</v>
      </c>
      <c r="AI25" s="157">
        <v>0</v>
      </c>
      <c r="AJ25" s="158">
        <v>0</v>
      </c>
      <c r="AK25" s="164">
        <v>0</v>
      </c>
      <c r="AL25" s="348">
        <f t="shared" si="90"/>
        <v>0</v>
      </c>
      <c r="AM25" s="349">
        <f t="shared" si="90"/>
        <v>0</v>
      </c>
      <c r="AN25" s="350">
        <f t="shared" si="90"/>
        <v>0</v>
      </c>
      <c r="AO25" s="172">
        <v>0</v>
      </c>
      <c r="AP25" s="253">
        <f t="shared" si="10"/>
        <v>0</v>
      </c>
      <c r="AQ25" s="178" t="e">
        <v>#DIV/0!</v>
      </c>
      <c r="AR25" s="178" t="e">
        <v>#DIV/0!</v>
      </c>
      <c r="AS25" s="389" t="e">
        <f t="shared" si="91"/>
        <v>#DIV/0!</v>
      </c>
      <c r="AT25" s="389" t="e">
        <f t="shared" si="92"/>
        <v>#DIV/0!</v>
      </c>
      <c r="AU25" s="178">
        <v>0</v>
      </c>
      <c r="AV25" s="356">
        <f t="shared" si="57"/>
        <v>0</v>
      </c>
      <c r="AW25" s="178">
        <v>0</v>
      </c>
      <c r="AX25" s="356">
        <f t="shared" si="58"/>
        <v>0</v>
      </c>
      <c r="AY25" s="190" t="e">
        <v>#DIV/0!</v>
      </c>
      <c r="AZ25" s="197" t="e">
        <v>#DIV/0!</v>
      </c>
      <c r="BA25" s="257" t="e">
        <f t="shared" si="93"/>
        <v>#DIV/0!</v>
      </c>
      <c r="BB25" s="258" t="e">
        <f t="shared" si="94"/>
        <v>#DIV/0!</v>
      </c>
      <c r="BC25" s="357"/>
      <c r="BD25" s="460"/>
      <c r="BE25" s="40">
        <f t="shared" si="106"/>
        <v>0</v>
      </c>
      <c r="BF25" s="461"/>
      <c r="BG25" s="132"/>
      <c r="BH25" s="132"/>
      <c r="BI25" s="132"/>
      <c r="BJ25" s="132"/>
      <c r="BK25" s="462"/>
      <c r="BL25" s="462"/>
      <c r="BM25" s="261">
        <f t="shared" si="95"/>
        <v>0</v>
      </c>
      <c r="BN25" s="261">
        <f t="shared" si="65"/>
        <v>0</v>
      </c>
      <c r="BO25" s="261">
        <f t="shared" si="65"/>
        <v>0</v>
      </c>
      <c r="BP25" s="261">
        <f t="shared" si="65"/>
        <v>0</v>
      </c>
      <c r="BQ25" s="261">
        <f t="shared" si="65"/>
        <v>0</v>
      </c>
      <c r="BR25" s="261">
        <f t="shared" si="65"/>
        <v>0</v>
      </c>
      <c r="BS25" s="261">
        <f t="shared" si="65"/>
        <v>0</v>
      </c>
      <c r="BT25" s="262"/>
      <c r="BU25" s="263"/>
      <c r="BV25" s="244">
        <f t="shared" si="14"/>
        <v>0</v>
      </c>
      <c r="BW25" s="245">
        <f t="shared" si="15"/>
        <v>0</v>
      </c>
      <c r="BX25" s="190"/>
      <c r="BY25" s="197"/>
      <c r="BZ25" s="265">
        <f t="shared" si="16"/>
        <v>0</v>
      </c>
      <c r="CA25" s="266">
        <f t="shared" si="17"/>
        <v>0</v>
      </c>
      <c r="CB25" s="362"/>
      <c r="CC25" s="463"/>
      <c r="CD25" s="242">
        <f t="shared" si="107"/>
        <v>0</v>
      </c>
      <c r="CE25" s="157"/>
      <c r="CF25" s="158"/>
      <c r="CG25" s="158"/>
      <c r="CH25" s="158"/>
      <c r="CI25" s="158"/>
      <c r="CJ25" s="158"/>
      <c r="CK25" s="263"/>
      <c r="CL25" s="348">
        <f t="shared" si="96"/>
        <v>0</v>
      </c>
      <c r="CM25" s="219">
        <f t="shared" si="18"/>
        <v>0</v>
      </c>
      <c r="CN25" s="219">
        <f t="shared" si="19"/>
        <v>0</v>
      </c>
      <c r="CO25" s="219">
        <f t="shared" si="20"/>
        <v>0</v>
      </c>
      <c r="CP25" s="219">
        <f t="shared" si="21"/>
        <v>0</v>
      </c>
      <c r="CQ25" s="349">
        <f t="shared" si="66"/>
        <v>0</v>
      </c>
      <c r="CR25" s="349">
        <f t="shared" si="67"/>
        <v>0</v>
      </c>
      <c r="CS25" s="349">
        <f t="shared" si="68"/>
        <v>0</v>
      </c>
      <c r="CT25" s="349">
        <f t="shared" si="69"/>
        <v>0</v>
      </c>
      <c r="CU25" s="349">
        <f t="shared" si="70"/>
        <v>0</v>
      </c>
      <c r="CV25" s="219">
        <f t="shared" si="27"/>
        <v>0</v>
      </c>
      <c r="CW25" s="349">
        <f t="shared" si="71"/>
        <v>0</v>
      </c>
      <c r="CX25" s="245">
        <f t="shared" si="29"/>
        <v>0</v>
      </c>
      <c r="CY25" s="464"/>
      <c r="CZ25" s="465"/>
      <c r="DA25" s="40">
        <f t="shared" si="108"/>
        <v>0</v>
      </c>
      <c r="DB25" s="157"/>
      <c r="DC25" s="158"/>
      <c r="DD25" s="158"/>
      <c r="DE25" s="158"/>
      <c r="DF25" s="158"/>
      <c r="DG25" s="263"/>
      <c r="DH25" s="348">
        <f t="shared" si="97"/>
        <v>0</v>
      </c>
      <c r="DI25" s="348">
        <f t="shared" si="98"/>
        <v>0</v>
      </c>
      <c r="DJ25" s="348">
        <f t="shared" si="99"/>
        <v>0</v>
      </c>
      <c r="DK25" s="348">
        <f t="shared" si="100"/>
        <v>0</v>
      </c>
      <c r="DL25" s="348">
        <f t="shared" si="101"/>
        <v>0</v>
      </c>
      <c r="DM25" s="348">
        <f t="shared" si="72"/>
        <v>0</v>
      </c>
      <c r="DN25" s="265">
        <f t="shared" si="102"/>
        <v>0</v>
      </c>
      <c r="DO25" s="265">
        <f t="shared" si="102"/>
        <v>0</v>
      </c>
      <c r="DP25" s="265">
        <f t="shared" si="102"/>
        <v>0</v>
      </c>
      <c r="DQ25" s="265">
        <f t="shared" si="102"/>
        <v>0</v>
      </c>
      <c r="DR25" s="265">
        <f t="shared" si="102"/>
        <v>0</v>
      </c>
      <c r="DS25" s="366">
        <f t="shared" si="73"/>
        <v>0</v>
      </c>
      <c r="DT25" s="219"/>
      <c r="DU25" s="219"/>
      <c r="DV25" s="219"/>
      <c r="DW25" s="219"/>
      <c r="DX25" s="219"/>
      <c r="DY25" s="219"/>
      <c r="DZ25" s="367"/>
      <c r="EA25" s="99" t="e">
        <f t="shared" si="75"/>
        <v>#DIV/0!</v>
      </c>
      <c r="EB25" s="99"/>
      <c r="EC25" s="99" t="e">
        <f t="shared" si="76"/>
        <v>#DIV/0!</v>
      </c>
      <c r="ED25" s="48" t="e">
        <f t="shared" si="77"/>
        <v>#DIV/0!</v>
      </c>
      <c r="EE25" s="48" t="e">
        <f t="shared" si="78"/>
        <v>#DIV/0!</v>
      </c>
      <c r="EF25" s="48" t="e">
        <f t="shared" si="79"/>
        <v>#DIV/0!</v>
      </c>
      <c r="EG25" s="48" t="e">
        <f t="shared" si="79"/>
        <v>#DIV/0!</v>
      </c>
      <c r="EH25" s="85" t="e">
        <f>100*(P25-(BA25+BZ25))/P25</f>
        <v>#DIV/0!</v>
      </c>
      <c r="EI25" s="276" t="e">
        <f t="shared" si="30"/>
        <v>#DIV/0!</v>
      </c>
      <c r="EJ25" s="466" t="e">
        <f t="shared" si="80"/>
        <v>#DIV/0!</v>
      </c>
      <c r="EK25" s="278">
        <f t="shared" si="81"/>
        <v>0</v>
      </c>
      <c r="EL25" s="274">
        <f>EK17+EK18+EK19+EK20+EK21+EK22+EK23+EK24+EK25</f>
        <v>8.1951981921040069</v>
      </c>
      <c r="EM25" s="277">
        <f t="shared" si="31"/>
        <v>5.7366387344728045</v>
      </c>
      <c r="EN25" s="272">
        <f t="shared" si="32"/>
        <v>1.6390396384208015</v>
      </c>
      <c r="EO25" s="279">
        <f t="shared" si="33"/>
        <v>0.81951981921040074</v>
      </c>
      <c r="EP25" s="276" t="e">
        <f t="shared" si="103"/>
        <v>#DIV/0!</v>
      </c>
      <c r="EQ25" s="273" t="e">
        <f t="shared" si="82"/>
        <v>#DIV/0!</v>
      </c>
      <c r="ER25" s="261" t="e">
        <f>100*(#REF!+$CM25)/$E25</f>
        <v>#REF!</v>
      </c>
      <c r="ES25" s="219" t="e">
        <f t="shared" si="34"/>
        <v>#REF!</v>
      </c>
      <c r="ET25" s="247" t="e">
        <f t="shared" si="35"/>
        <v>#REF!</v>
      </c>
      <c r="EU25" s="261" t="e">
        <f>100*($CO25+#REF!)/$E25</f>
        <v>#REF!</v>
      </c>
      <c r="EV25" s="219" t="e">
        <f t="shared" si="36"/>
        <v>#REF!</v>
      </c>
      <c r="EW25" s="247" t="e">
        <f t="shared" si="37"/>
        <v>#REF!</v>
      </c>
      <c r="EX25" s="348" t="e">
        <f>100*($CQ25+#REF!)/$E25</f>
        <v>#REF!</v>
      </c>
      <c r="EY25" s="219" t="e">
        <f t="shared" si="38"/>
        <v>#REF!</v>
      </c>
      <c r="EZ25" s="247" t="e">
        <f t="shared" si="39"/>
        <v>#REF!</v>
      </c>
      <c r="FA25" s="261" t="e">
        <f>100*($CS25+#REF!)/$E25</f>
        <v>#REF!</v>
      </c>
      <c r="FB25" s="219" t="e">
        <f t="shared" si="40"/>
        <v>#REF!</v>
      </c>
      <c r="FC25" s="247" t="e">
        <f t="shared" si="41"/>
        <v>#REF!</v>
      </c>
      <c r="FD25" s="261" t="e">
        <f>100*($CU25+#REF!)/$E25</f>
        <v>#REF!</v>
      </c>
      <c r="FE25" s="219" t="e">
        <f t="shared" si="42"/>
        <v>#REF!</v>
      </c>
      <c r="FF25" s="247" t="e">
        <f t="shared" si="43"/>
        <v>#REF!</v>
      </c>
      <c r="FG25" s="261" t="e">
        <f>100*($CW25+#REF!)/$E25</f>
        <v>#REF!</v>
      </c>
      <c r="FH25" s="219" t="e">
        <f t="shared" si="44"/>
        <v>#REF!</v>
      </c>
      <c r="FI25" s="247" t="e">
        <f t="shared" si="45"/>
        <v>#REF!</v>
      </c>
      <c r="FJ25" s="280" t="e">
        <f t="shared" si="83"/>
        <v>#DIV/0!</v>
      </c>
      <c r="FK25" s="281" t="e">
        <f t="shared" si="46"/>
        <v>#DIV/0!</v>
      </c>
      <c r="FL25" s="282" t="e">
        <f t="shared" si="84"/>
        <v>#DIV/0!</v>
      </c>
      <c r="FM25" s="283" t="e">
        <f t="shared" si="47"/>
        <v>#DIV/0!</v>
      </c>
      <c r="FN25" s="99" t="e">
        <f t="shared" si="48"/>
        <v>#DIV/0!</v>
      </c>
      <c r="FO25" s="48" t="e">
        <f t="shared" si="85"/>
        <v>#DIV/0!</v>
      </c>
      <c r="FP25" s="48" t="e">
        <f t="shared" si="49"/>
        <v>#DIV/0!</v>
      </c>
      <c r="FQ25" s="48" t="e">
        <f t="shared" si="50"/>
        <v>#DIV/0!</v>
      </c>
      <c r="FR25" s="48" t="e">
        <f t="shared" si="51"/>
        <v>#DIV/0!</v>
      </c>
      <c r="FS25" s="48" t="e">
        <f t="shared" si="86"/>
        <v>#REF!</v>
      </c>
      <c r="FT25" s="48" t="e">
        <f t="shared" si="52"/>
        <v>#DIV/0!</v>
      </c>
      <c r="FU25" s="48" t="e">
        <f t="shared" si="53"/>
        <v>#DIV/0!</v>
      </c>
      <c r="FV25" s="370" t="e">
        <f>(#REF!+#REF!+#REF!+#REF!+#REF!+#REF!+#REF!+$CX25+$CV25+$CT25+$CR25+$CP25+$CN25+$BV25+$AS25)/$K25</f>
        <v>#REF!</v>
      </c>
      <c r="FW25" s="48"/>
      <c r="FX25" s="370" t="e">
        <f t="shared" si="104"/>
        <v>#REF!</v>
      </c>
      <c r="FY25" s="372" t="e">
        <f t="shared" si="55"/>
        <v>#DIV/0!</v>
      </c>
      <c r="FZ25" s="287" t="e">
        <f t="shared" si="87"/>
        <v>#DIV/0!</v>
      </c>
      <c r="GA25" s="373">
        <v>6</v>
      </c>
    </row>
    <row r="26" spans="2:183" ht="15.75" thickBot="1" x14ac:dyDescent="0.3">
      <c r="B26" s="344">
        <v>45650</v>
      </c>
      <c r="C26" s="468">
        <v>7</v>
      </c>
      <c r="D26" s="469"/>
      <c r="E26" s="41">
        <f t="shared" si="105"/>
        <v>0</v>
      </c>
      <c r="F26" s="291">
        <f t="shared" si="59"/>
        <v>0</v>
      </c>
      <c r="G26" s="291">
        <f t="shared" si="60"/>
        <v>0</v>
      </c>
      <c r="H26" s="325">
        <f t="shared" si="61"/>
        <v>0</v>
      </c>
      <c r="I26" s="293">
        <f t="shared" si="62"/>
        <v>0</v>
      </c>
      <c r="J26" s="295">
        <f t="shared" si="63"/>
        <v>0</v>
      </c>
      <c r="K26" s="293">
        <f t="shared" si="8"/>
        <v>0</v>
      </c>
      <c r="L26" s="294">
        <f t="shared" si="9"/>
        <v>0</v>
      </c>
      <c r="M26" s="41">
        <f t="shared" si="0"/>
        <v>0</v>
      </c>
      <c r="N26" s="292">
        <f t="shared" si="1"/>
        <v>0</v>
      </c>
      <c r="O26" s="295">
        <f t="shared" si="2"/>
        <v>0</v>
      </c>
      <c r="P26" s="325">
        <f t="shared" si="3"/>
        <v>0</v>
      </c>
      <c r="Q26" s="295">
        <f t="shared" si="4"/>
        <v>0</v>
      </c>
      <c r="R26" s="470"/>
      <c r="S26" s="471"/>
      <c r="T26" s="469">
        <f t="shared" si="88"/>
        <v>0</v>
      </c>
      <c r="U26" s="134">
        <v>0</v>
      </c>
      <c r="V26" s="135">
        <v>0</v>
      </c>
      <c r="W26" s="135">
        <v>0</v>
      </c>
      <c r="X26" s="135">
        <v>0</v>
      </c>
      <c r="Y26" s="135">
        <v>0</v>
      </c>
      <c r="Z26" s="135">
        <v>0</v>
      </c>
      <c r="AA26" s="136">
        <v>0</v>
      </c>
      <c r="AB26" s="251">
        <f t="shared" si="89"/>
        <v>0</v>
      </c>
      <c r="AC26" s="251">
        <f t="shared" si="64"/>
        <v>0</v>
      </c>
      <c r="AD26" s="251">
        <f t="shared" si="64"/>
        <v>0</v>
      </c>
      <c r="AE26" s="251">
        <f t="shared" si="64"/>
        <v>0</v>
      </c>
      <c r="AF26" s="251">
        <f t="shared" si="64"/>
        <v>0</v>
      </c>
      <c r="AG26" s="251">
        <f t="shared" si="64"/>
        <v>0</v>
      </c>
      <c r="AH26" s="251">
        <f t="shared" si="64"/>
        <v>0</v>
      </c>
      <c r="AI26" s="159">
        <v>0</v>
      </c>
      <c r="AJ26" s="160">
        <v>0</v>
      </c>
      <c r="AK26" s="165">
        <v>0</v>
      </c>
      <c r="AL26" s="348">
        <f t="shared" si="90"/>
        <v>0</v>
      </c>
      <c r="AM26" s="349">
        <f t="shared" si="90"/>
        <v>0</v>
      </c>
      <c r="AN26" s="350">
        <f t="shared" si="90"/>
        <v>0</v>
      </c>
      <c r="AO26" s="173">
        <v>0</v>
      </c>
      <c r="AP26" s="304">
        <f t="shared" si="10"/>
        <v>0</v>
      </c>
      <c r="AQ26" s="177" t="e">
        <v>#DIV/0!</v>
      </c>
      <c r="AR26" s="177" t="e">
        <v>#DIV/0!</v>
      </c>
      <c r="AS26" s="389" t="e">
        <f t="shared" si="91"/>
        <v>#DIV/0!</v>
      </c>
      <c r="AT26" s="389" t="e">
        <f t="shared" si="92"/>
        <v>#DIV/0!</v>
      </c>
      <c r="AU26" s="177">
        <v>0</v>
      </c>
      <c r="AV26" s="472">
        <f t="shared" si="57"/>
        <v>0</v>
      </c>
      <c r="AW26" s="177">
        <v>0</v>
      </c>
      <c r="AX26" s="472">
        <f t="shared" si="58"/>
        <v>0</v>
      </c>
      <c r="AY26" s="195" t="e">
        <v>#DIV/0!</v>
      </c>
      <c r="AZ26" s="202" t="e">
        <v>#DIV/0!</v>
      </c>
      <c r="BA26" s="473" t="e">
        <f t="shared" si="93"/>
        <v>#DIV/0!</v>
      </c>
      <c r="BB26" s="474" t="e">
        <f t="shared" si="94"/>
        <v>#DIV/0!</v>
      </c>
      <c r="BC26" s="310"/>
      <c r="BD26" s="475"/>
      <c r="BE26" s="41">
        <f t="shared" si="106"/>
        <v>0</v>
      </c>
      <c r="BF26" s="476"/>
      <c r="BG26" s="135"/>
      <c r="BH26" s="135"/>
      <c r="BI26" s="135"/>
      <c r="BJ26" s="135"/>
      <c r="BK26" s="477"/>
      <c r="BL26" s="477"/>
      <c r="BM26" s="261">
        <f t="shared" si="95"/>
        <v>0</v>
      </c>
      <c r="BN26" s="261">
        <f t="shared" si="65"/>
        <v>0</v>
      </c>
      <c r="BO26" s="261">
        <f t="shared" si="65"/>
        <v>0</v>
      </c>
      <c r="BP26" s="261">
        <f t="shared" si="65"/>
        <v>0</v>
      </c>
      <c r="BQ26" s="261">
        <f t="shared" si="65"/>
        <v>0</v>
      </c>
      <c r="BR26" s="261">
        <f t="shared" si="65"/>
        <v>0</v>
      </c>
      <c r="BS26" s="261">
        <f t="shared" si="65"/>
        <v>0</v>
      </c>
      <c r="BT26" s="478"/>
      <c r="BU26" s="479"/>
      <c r="BV26" s="292">
        <f t="shared" si="14"/>
        <v>0</v>
      </c>
      <c r="BW26" s="294">
        <f t="shared" si="15"/>
        <v>0</v>
      </c>
      <c r="BX26" s="195"/>
      <c r="BY26" s="202"/>
      <c r="BZ26" s="301">
        <f t="shared" si="16"/>
        <v>0</v>
      </c>
      <c r="CA26" s="320">
        <f t="shared" si="17"/>
        <v>0</v>
      </c>
      <c r="CB26" s="321"/>
      <c r="CC26" s="480"/>
      <c r="CD26" s="323">
        <f t="shared" si="107"/>
        <v>0</v>
      </c>
      <c r="CE26" s="159"/>
      <c r="CF26" s="160"/>
      <c r="CG26" s="160"/>
      <c r="CH26" s="160"/>
      <c r="CI26" s="160"/>
      <c r="CJ26" s="160"/>
      <c r="CK26" s="479"/>
      <c r="CL26" s="348">
        <f t="shared" si="96"/>
        <v>0</v>
      </c>
      <c r="CM26" s="293">
        <f t="shared" si="18"/>
        <v>0</v>
      </c>
      <c r="CN26" s="293">
        <f t="shared" si="19"/>
        <v>0</v>
      </c>
      <c r="CO26" s="293">
        <f t="shared" si="20"/>
        <v>0</v>
      </c>
      <c r="CP26" s="293">
        <f t="shared" si="21"/>
        <v>0</v>
      </c>
      <c r="CQ26" s="349">
        <f t="shared" si="66"/>
        <v>0</v>
      </c>
      <c r="CR26" s="349">
        <f t="shared" si="67"/>
        <v>0</v>
      </c>
      <c r="CS26" s="349">
        <f t="shared" si="68"/>
        <v>0</v>
      </c>
      <c r="CT26" s="349">
        <f t="shared" si="69"/>
        <v>0</v>
      </c>
      <c r="CU26" s="349">
        <f t="shared" si="70"/>
        <v>0</v>
      </c>
      <c r="CV26" s="293">
        <f t="shared" si="27"/>
        <v>0</v>
      </c>
      <c r="CW26" s="349">
        <f t="shared" si="71"/>
        <v>0</v>
      </c>
      <c r="CX26" s="294">
        <f t="shared" si="29"/>
        <v>0</v>
      </c>
      <c r="CY26" s="481"/>
      <c r="CZ26" s="482"/>
      <c r="DA26" s="41">
        <f t="shared" si="108"/>
        <v>0</v>
      </c>
      <c r="DB26" s="159"/>
      <c r="DC26" s="160"/>
      <c r="DD26" s="160"/>
      <c r="DE26" s="160"/>
      <c r="DF26" s="160"/>
      <c r="DG26" s="479"/>
      <c r="DH26" s="348">
        <f t="shared" si="97"/>
        <v>0</v>
      </c>
      <c r="DI26" s="348">
        <f t="shared" si="98"/>
        <v>0</v>
      </c>
      <c r="DJ26" s="348">
        <f t="shared" si="99"/>
        <v>0</v>
      </c>
      <c r="DK26" s="348">
        <f t="shared" si="100"/>
        <v>0</v>
      </c>
      <c r="DL26" s="348">
        <f t="shared" si="101"/>
        <v>0</v>
      </c>
      <c r="DM26" s="348">
        <f t="shared" si="72"/>
        <v>0</v>
      </c>
      <c r="DN26" s="265">
        <f t="shared" si="102"/>
        <v>0</v>
      </c>
      <c r="DO26" s="265">
        <f t="shared" si="102"/>
        <v>0</v>
      </c>
      <c r="DP26" s="265">
        <f t="shared" si="102"/>
        <v>0</v>
      </c>
      <c r="DQ26" s="265">
        <f t="shared" si="102"/>
        <v>0</v>
      </c>
      <c r="DR26" s="265">
        <f t="shared" si="102"/>
        <v>0</v>
      </c>
      <c r="DS26" s="366">
        <f t="shared" si="73"/>
        <v>0</v>
      </c>
      <c r="DT26" s="219"/>
      <c r="DU26" s="219"/>
      <c r="DV26" s="219"/>
      <c r="DW26" s="219"/>
      <c r="DX26" s="219"/>
      <c r="DY26" s="219"/>
      <c r="DZ26" s="327"/>
      <c r="EA26" s="339" t="e">
        <f t="shared" si="75"/>
        <v>#DIV/0!</v>
      </c>
      <c r="EB26" s="339"/>
      <c r="EC26" s="339" t="e">
        <f t="shared" si="76"/>
        <v>#DIV/0!</v>
      </c>
      <c r="ED26" s="298" t="e">
        <f t="shared" si="77"/>
        <v>#DIV/0!</v>
      </c>
      <c r="EE26" s="298" t="e">
        <f t="shared" si="78"/>
        <v>#DIV/0!</v>
      </c>
      <c r="EF26" s="298" t="e">
        <f t="shared" si="79"/>
        <v>#DIV/0!</v>
      </c>
      <c r="EG26" s="298" t="e">
        <f t="shared" si="79"/>
        <v>#DIV/0!</v>
      </c>
      <c r="EH26" s="301" t="e">
        <f>100*(P26-(BA26+BZ26))/P26</f>
        <v>#DIV/0!</v>
      </c>
      <c r="EI26" s="330" t="e">
        <f t="shared" si="30"/>
        <v>#DIV/0!</v>
      </c>
      <c r="EJ26" s="483" t="e">
        <f t="shared" si="80"/>
        <v>#DIV/0!</v>
      </c>
      <c r="EK26" s="332">
        <f t="shared" si="81"/>
        <v>0</v>
      </c>
      <c r="EL26" s="307">
        <f>EK17+EK18+EK19+EK20+EK21+EK22+EK23+EK24+EK25+EK26</f>
        <v>8.1951981921040069</v>
      </c>
      <c r="EM26" s="331">
        <f t="shared" si="31"/>
        <v>5.7366387344728045</v>
      </c>
      <c r="EN26" s="333">
        <f t="shared" si="32"/>
        <v>1.6390396384208015</v>
      </c>
      <c r="EO26" s="334">
        <f t="shared" si="33"/>
        <v>0.81951981921040074</v>
      </c>
      <c r="EP26" s="330" t="e">
        <f t="shared" si="103"/>
        <v>#DIV/0!</v>
      </c>
      <c r="EQ26" s="328" t="e">
        <f t="shared" si="82"/>
        <v>#DIV/0!</v>
      </c>
      <c r="ER26" s="325" t="e">
        <f>100*(#REF!+$CM26)/$E26</f>
        <v>#REF!</v>
      </c>
      <c r="ES26" s="293" t="e">
        <f t="shared" si="34"/>
        <v>#REF!</v>
      </c>
      <c r="ET26" s="295" t="e">
        <f t="shared" si="35"/>
        <v>#REF!</v>
      </c>
      <c r="EU26" s="325" t="e">
        <f>100*($CO26+#REF!)/$E26</f>
        <v>#REF!</v>
      </c>
      <c r="EV26" s="293" t="e">
        <f t="shared" si="36"/>
        <v>#REF!</v>
      </c>
      <c r="EW26" s="295" t="e">
        <f t="shared" si="37"/>
        <v>#REF!</v>
      </c>
      <c r="EX26" s="348" t="e">
        <f>100*($CQ26+#REF!)/$E26</f>
        <v>#REF!</v>
      </c>
      <c r="EY26" s="293" t="e">
        <f t="shared" si="38"/>
        <v>#REF!</v>
      </c>
      <c r="EZ26" s="295" t="e">
        <f t="shared" si="39"/>
        <v>#REF!</v>
      </c>
      <c r="FA26" s="325" t="e">
        <f>100*($CS26+#REF!)/$E26</f>
        <v>#REF!</v>
      </c>
      <c r="FB26" s="293" t="e">
        <f t="shared" si="40"/>
        <v>#REF!</v>
      </c>
      <c r="FC26" s="295" t="e">
        <f t="shared" si="41"/>
        <v>#REF!</v>
      </c>
      <c r="FD26" s="325" t="e">
        <f>100*($CU26+#REF!)/$E26</f>
        <v>#REF!</v>
      </c>
      <c r="FE26" s="293" t="e">
        <f t="shared" si="42"/>
        <v>#REF!</v>
      </c>
      <c r="FF26" s="295" t="e">
        <f t="shared" si="43"/>
        <v>#REF!</v>
      </c>
      <c r="FG26" s="325" t="e">
        <f>100*($CW26+#REF!)/$E26</f>
        <v>#REF!</v>
      </c>
      <c r="FH26" s="293" t="e">
        <f t="shared" si="44"/>
        <v>#REF!</v>
      </c>
      <c r="FI26" s="295" t="e">
        <f t="shared" si="45"/>
        <v>#REF!</v>
      </c>
      <c r="FJ26" s="335" t="e">
        <f t="shared" si="83"/>
        <v>#DIV/0!</v>
      </c>
      <c r="FK26" s="336" t="e">
        <f t="shared" si="46"/>
        <v>#DIV/0!</v>
      </c>
      <c r="FL26" s="337" t="e">
        <f t="shared" si="84"/>
        <v>#DIV/0!</v>
      </c>
      <c r="FM26" s="338" t="e">
        <f t="shared" si="47"/>
        <v>#DIV/0!</v>
      </c>
      <c r="FN26" s="339" t="e">
        <f t="shared" si="48"/>
        <v>#DIV/0!</v>
      </c>
      <c r="FO26" s="298" t="e">
        <f t="shared" si="85"/>
        <v>#DIV/0!</v>
      </c>
      <c r="FP26" s="298" t="e">
        <f t="shared" si="49"/>
        <v>#DIV/0!</v>
      </c>
      <c r="FQ26" s="298" t="e">
        <f t="shared" si="50"/>
        <v>#DIV/0!</v>
      </c>
      <c r="FR26" s="298" t="e">
        <f t="shared" si="51"/>
        <v>#DIV/0!</v>
      </c>
      <c r="FS26" s="298" t="e">
        <f t="shared" si="86"/>
        <v>#REF!</v>
      </c>
      <c r="FT26" s="298" t="e">
        <f t="shared" si="52"/>
        <v>#DIV/0!</v>
      </c>
      <c r="FU26" s="298" t="e">
        <f t="shared" si="53"/>
        <v>#DIV/0!</v>
      </c>
      <c r="FV26" s="484" t="e">
        <f>(#REF!+#REF!+#REF!+#REF!+#REF!+#REF!+#REF!+$CX26+$CV26+$CT26+$CR26+$CP26+$CN26+$BV26+$AS26)/$K26</f>
        <v>#REF!</v>
      </c>
      <c r="FW26" s="298"/>
      <c r="FX26" s="484" t="e">
        <f t="shared" si="104"/>
        <v>#REF!</v>
      </c>
      <c r="FY26" s="485" t="e">
        <f t="shared" si="55"/>
        <v>#DIV/0!</v>
      </c>
      <c r="FZ26" s="342" t="e">
        <f t="shared" si="87"/>
        <v>#DIV/0!</v>
      </c>
      <c r="GA26" s="486">
        <v>7</v>
      </c>
    </row>
    <row r="27" spans="2:183" x14ac:dyDescent="0.25">
      <c r="B27" s="487">
        <v>45651</v>
      </c>
      <c r="C27" s="488"/>
      <c r="D27" s="489"/>
      <c r="E27" s="490"/>
      <c r="F27" s="490"/>
      <c r="G27" s="491"/>
      <c r="H27" s="491"/>
      <c r="I27" s="491"/>
      <c r="J27" s="492"/>
      <c r="K27" s="491"/>
      <c r="L27" s="493"/>
      <c r="M27" s="494"/>
      <c r="N27" s="491"/>
      <c r="O27" s="491"/>
      <c r="P27" s="491"/>
      <c r="Q27" s="492"/>
      <c r="R27" s="495"/>
      <c r="S27" s="496"/>
      <c r="T27" s="491"/>
      <c r="U27" s="349"/>
      <c r="V27" s="349"/>
      <c r="W27" s="349"/>
      <c r="X27" s="349"/>
      <c r="Y27" s="349"/>
      <c r="Z27" s="349"/>
      <c r="AA27" s="349"/>
      <c r="AB27" s="349"/>
      <c r="AC27" s="349"/>
      <c r="AD27" s="349"/>
      <c r="AE27" s="349"/>
      <c r="AF27" s="349"/>
      <c r="AG27" s="349"/>
      <c r="AH27" s="349"/>
      <c r="AI27" s="349"/>
      <c r="AJ27" s="349"/>
      <c r="AK27" s="349"/>
      <c r="AL27" s="349"/>
      <c r="AM27" s="349"/>
      <c r="AN27" s="349"/>
      <c r="AO27" s="349"/>
      <c r="AP27" s="349"/>
      <c r="AQ27" s="349"/>
      <c r="AR27" s="349"/>
      <c r="AS27" s="349"/>
      <c r="AT27" s="349"/>
      <c r="AU27" s="349"/>
      <c r="AV27" s="349"/>
      <c r="AW27" s="349"/>
      <c r="AX27" s="349"/>
      <c r="AY27" s="349"/>
      <c r="AZ27" s="349"/>
      <c r="BA27" s="349"/>
      <c r="BB27" s="350"/>
      <c r="BC27" s="357"/>
      <c r="BD27" s="494"/>
      <c r="BE27" s="491"/>
      <c r="BF27" s="349"/>
      <c r="BG27" s="349"/>
      <c r="BH27" s="349"/>
      <c r="BI27" s="349"/>
      <c r="BJ27" s="349"/>
      <c r="BK27" s="349"/>
      <c r="BL27" s="349"/>
      <c r="BM27" s="349"/>
      <c r="BN27" s="349"/>
      <c r="BO27" s="349"/>
      <c r="BP27" s="349"/>
      <c r="BQ27" s="349"/>
      <c r="BR27" s="349"/>
      <c r="BS27" s="349"/>
      <c r="BT27" s="349"/>
      <c r="BU27" s="349"/>
      <c r="BV27" s="349"/>
      <c r="BW27" s="349"/>
      <c r="BX27" s="349"/>
      <c r="BY27" s="349"/>
      <c r="BZ27" s="349"/>
      <c r="CA27" s="266"/>
      <c r="CB27" s="362"/>
      <c r="CC27" s="265"/>
      <c r="CD27" s="349"/>
      <c r="CE27" s="349"/>
      <c r="CF27" s="349"/>
      <c r="CG27" s="349"/>
      <c r="CH27" s="349"/>
      <c r="CI27" s="349"/>
      <c r="CJ27" s="349"/>
      <c r="CK27" s="349"/>
      <c r="CL27" s="349"/>
      <c r="CM27" s="349"/>
      <c r="CN27" s="349"/>
      <c r="CO27" s="349"/>
      <c r="CP27" s="349"/>
      <c r="CQ27" s="349"/>
      <c r="CR27" s="349"/>
      <c r="CS27" s="349"/>
      <c r="CT27" s="349"/>
      <c r="CU27" s="349"/>
      <c r="CV27" s="266"/>
      <c r="CW27" s="266"/>
      <c r="CX27" s="366"/>
      <c r="CY27" s="357"/>
      <c r="CZ27" s="348"/>
      <c r="DA27" s="349"/>
      <c r="DB27" s="349"/>
      <c r="DC27" s="349"/>
      <c r="DD27" s="349"/>
      <c r="DE27" s="349"/>
      <c r="DF27" s="349"/>
      <c r="DG27" s="349"/>
      <c r="DH27" s="349"/>
      <c r="DI27" s="349"/>
      <c r="DJ27" s="349"/>
      <c r="DK27" s="349"/>
      <c r="DL27" s="349"/>
      <c r="DM27" s="349"/>
      <c r="DN27" s="349"/>
      <c r="DO27" s="349"/>
      <c r="DP27" s="349"/>
      <c r="DQ27" s="349"/>
      <c r="DR27" s="349"/>
      <c r="DS27" s="349"/>
      <c r="DT27" s="48"/>
      <c r="DU27" s="48"/>
      <c r="DV27" s="48"/>
      <c r="DW27" s="48"/>
      <c r="DX27" s="48"/>
      <c r="DY27" s="48"/>
      <c r="DZ27" s="367"/>
      <c r="EA27" s="99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234"/>
      <c r="EQ27" s="234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100"/>
      <c r="FV27" s="48"/>
      <c r="FW27" s="48"/>
      <c r="FX27" s="48"/>
      <c r="FY27" s="19"/>
      <c r="FZ27" s="100"/>
      <c r="GA27" s="75"/>
    </row>
    <row r="28" spans="2:183" x14ac:dyDescent="0.25">
      <c r="B28" s="497">
        <v>45652</v>
      </c>
      <c r="C28" s="498"/>
      <c r="D28" s="499"/>
      <c r="E28" s="500"/>
      <c r="F28" s="500"/>
      <c r="G28" s="219"/>
      <c r="H28" s="501"/>
      <c r="I28" s="501"/>
      <c r="J28" s="502"/>
      <c r="K28" s="501"/>
      <c r="L28" s="503"/>
      <c r="M28" s="504"/>
      <c r="N28" s="501"/>
      <c r="O28" s="501"/>
      <c r="P28" s="501"/>
      <c r="Q28" s="502"/>
      <c r="R28" s="505"/>
      <c r="S28" s="506"/>
      <c r="T28" s="501"/>
      <c r="U28" s="219"/>
      <c r="V28" s="219"/>
      <c r="W28" s="219"/>
      <c r="X28" s="219"/>
      <c r="Y28" s="219"/>
      <c r="Z28" s="219"/>
      <c r="AA28" s="219"/>
      <c r="AB28" s="219"/>
      <c r="AC28" s="219"/>
      <c r="AD28" s="219"/>
      <c r="AE28" s="219"/>
      <c r="AF28" s="219"/>
      <c r="AG28" s="219"/>
      <c r="AH28" s="219"/>
      <c r="AI28" s="219"/>
      <c r="AJ28" s="219"/>
      <c r="AK28" s="219"/>
      <c r="AL28" s="219"/>
      <c r="AM28" s="219"/>
      <c r="AN28" s="219"/>
      <c r="AO28" s="219"/>
      <c r="AP28" s="219"/>
      <c r="AQ28" s="219"/>
      <c r="AR28" s="219"/>
      <c r="AS28" s="219"/>
      <c r="AT28" s="219"/>
      <c r="AU28" s="219"/>
      <c r="AV28" s="219"/>
      <c r="AW28" s="219"/>
      <c r="AX28" s="219"/>
      <c r="AY28" s="219"/>
      <c r="AZ28" s="219"/>
      <c r="BA28" s="219"/>
      <c r="BB28" s="245"/>
      <c r="BC28" s="464"/>
      <c r="BD28" s="504"/>
      <c r="BE28" s="501"/>
      <c r="BF28" s="219"/>
      <c r="BG28" s="219"/>
      <c r="BH28" s="219"/>
      <c r="BI28" s="219"/>
      <c r="BJ28" s="219"/>
      <c r="BK28" s="219"/>
      <c r="BL28" s="219"/>
      <c r="BM28" s="219"/>
      <c r="BN28" s="219"/>
      <c r="BO28" s="219"/>
      <c r="BP28" s="219"/>
      <c r="BQ28" s="219"/>
      <c r="BR28" s="219"/>
      <c r="BS28" s="219"/>
      <c r="BT28" s="219"/>
      <c r="BU28" s="219"/>
      <c r="BV28" s="219"/>
      <c r="BW28" s="219"/>
      <c r="BX28" s="219"/>
      <c r="BY28" s="219"/>
      <c r="BZ28" s="219"/>
      <c r="CA28" s="247"/>
      <c r="CB28" s="267"/>
      <c r="CC28" s="244"/>
      <c r="CD28" s="219"/>
      <c r="CE28" s="219"/>
      <c r="CF28" s="219"/>
      <c r="CG28" s="219"/>
      <c r="CH28" s="219"/>
      <c r="CI28" s="219"/>
      <c r="CJ28" s="219"/>
      <c r="CK28" s="219"/>
      <c r="CL28" s="219"/>
      <c r="CM28" s="219"/>
      <c r="CN28" s="219"/>
      <c r="CO28" s="219"/>
      <c r="CP28" s="219"/>
      <c r="CQ28" s="219"/>
      <c r="CR28" s="219"/>
      <c r="CS28" s="219"/>
      <c r="CT28" s="219"/>
      <c r="CU28" s="219"/>
      <c r="CV28" s="247"/>
      <c r="CW28" s="247"/>
      <c r="CX28" s="285"/>
      <c r="CY28" s="464"/>
      <c r="CZ28" s="261"/>
      <c r="DA28" s="219"/>
      <c r="DB28" s="219"/>
      <c r="DC28" s="219"/>
      <c r="DD28" s="219"/>
      <c r="DE28" s="219"/>
      <c r="DF28" s="219"/>
      <c r="DG28" s="219"/>
      <c r="DH28" s="219"/>
      <c r="DI28" s="219"/>
      <c r="DJ28" s="219"/>
      <c r="DK28" s="219"/>
      <c r="DL28" s="219"/>
      <c r="DM28" s="219"/>
      <c r="DN28" s="219"/>
      <c r="DO28" s="219"/>
      <c r="DP28" s="219"/>
      <c r="DQ28" s="219"/>
      <c r="DR28" s="219"/>
      <c r="DS28" s="219"/>
      <c r="DT28" s="48"/>
      <c r="DU28" s="48"/>
      <c r="DV28" s="48"/>
      <c r="DW28" s="48"/>
      <c r="DX28" s="48"/>
      <c r="DY28" s="48"/>
      <c r="DZ28" s="367"/>
      <c r="EA28" s="99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274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100"/>
      <c r="FV28" s="48"/>
      <c r="FW28" s="48"/>
      <c r="FX28" s="48"/>
      <c r="FY28" s="22"/>
      <c r="FZ28" s="100"/>
      <c r="GA28" s="100"/>
    </row>
    <row r="29" spans="2:183" x14ac:dyDescent="0.25">
      <c r="B29" s="497">
        <v>45653</v>
      </c>
      <c r="C29" s="498"/>
      <c r="D29" s="499"/>
      <c r="E29" s="500"/>
      <c r="F29" s="500"/>
      <c r="G29" s="501"/>
      <c r="H29" s="501"/>
      <c r="I29" s="501"/>
      <c r="J29" s="502"/>
      <c r="K29" s="501"/>
      <c r="L29" s="503"/>
      <c r="M29" s="504"/>
      <c r="N29" s="501"/>
      <c r="O29" s="501"/>
      <c r="P29" s="501"/>
      <c r="Q29" s="502"/>
      <c r="R29" s="505"/>
      <c r="S29" s="506"/>
      <c r="T29" s="501"/>
      <c r="U29" s="219"/>
      <c r="V29" s="219"/>
      <c r="W29" s="219"/>
      <c r="X29" s="219"/>
      <c r="Y29" s="219"/>
      <c r="Z29" s="219"/>
      <c r="AA29" s="219"/>
      <c r="AB29" s="219"/>
      <c r="AC29" s="219"/>
      <c r="AD29" s="219"/>
      <c r="AE29" s="219"/>
      <c r="AF29" s="219"/>
      <c r="AG29" s="219"/>
      <c r="AH29" s="219"/>
      <c r="AI29" s="219"/>
      <c r="AJ29" s="219"/>
      <c r="AK29" s="219"/>
      <c r="AL29" s="219"/>
      <c r="AM29" s="219"/>
      <c r="AN29" s="219"/>
      <c r="AO29" s="219"/>
      <c r="AP29" s="219"/>
      <c r="AQ29" s="219"/>
      <c r="AR29" s="219"/>
      <c r="AS29" s="219"/>
      <c r="AT29" s="219"/>
      <c r="AU29" s="219"/>
      <c r="AV29" s="219"/>
      <c r="AW29" s="219"/>
      <c r="AX29" s="219"/>
      <c r="AY29" s="219"/>
      <c r="AZ29" s="219"/>
      <c r="BA29" s="219"/>
      <c r="BB29" s="245"/>
      <c r="BC29" s="464"/>
      <c r="BD29" s="244"/>
      <c r="BE29" s="219"/>
      <c r="BF29" s="219"/>
      <c r="BG29" s="219"/>
      <c r="BH29" s="219"/>
      <c r="BI29" s="219"/>
      <c r="BJ29" s="219"/>
      <c r="BK29" s="219"/>
      <c r="BL29" s="219"/>
      <c r="BM29" s="219"/>
      <c r="BN29" s="219"/>
      <c r="BO29" s="219"/>
      <c r="BP29" s="219"/>
      <c r="BQ29" s="219"/>
      <c r="BR29" s="219"/>
      <c r="BS29" s="219"/>
      <c r="BT29" s="219"/>
      <c r="BU29" s="219"/>
      <c r="BV29" s="219"/>
      <c r="BW29" s="219"/>
      <c r="BX29" s="219"/>
      <c r="BY29" s="219"/>
      <c r="BZ29" s="219"/>
      <c r="CA29" s="247"/>
      <c r="CB29" s="267"/>
      <c r="CC29" s="244"/>
      <c r="CD29" s="219"/>
      <c r="CE29" s="219"/>
      <c r="CF29" s="219"/>
      <c r="CG29" s="219"/>
      <c r="CH29" s="219"/>
      <c r="CI29" s="219"/>
      <c r="CJ29" s="219"/>
      <c r="CK29" s="219"/>
      <c r="CL29" s="219"/>
      <c r="CM29" s="219"/>
      <c r="CN29" s="219"/>
      <c r="CO29" s="219"/>
      <c r="CP29" s="219"/>
      <c r="CQ29" s="219"/>
      <c r="CR29" s="219"/>
      <c r="CS29" s="219"/>
      <c r="CT29" s="219"/>
      <c r="CU29" s="219"/>
      <c r="CV29" s="247"/>
      <c r="CW29" s="247"/>
      <c r="CX29" s="285"/>
      <c r="CY29" s="464"/>
      <c r="CZ29" s="261"/>
      <c r="DA29" s="219"/>
      <c r="DB29" s="219"/>
      <c r="DC29" s="219"/>
      <c r="DD29" s="219"/>
      <c r="DE29" s="219"/>
      <c r="DF29" s="219"/>
      <c r="DG29" s="219"/>
      <c r="DH29" s="219"/>
      <c r="DI29" s="219"/>
      <c r="DJ29" s="219"/>
      <c r="DK29" s="219"/>
      <c r="DL29" s="219"/>
      <c r="DM29" s="219"/>
      <c r="DN29" s="219"/>
      <c r="DO29" s="219"/>
      <c r="DP29" s="219"/>
      <c r="DQ29" s="219"/>
      <c r="DR29" s="219"/>
      <c r="DS29" s="219"/>
      <c r="DT29" s="48"/>
      <c r="DU29" s="48"/>
      <c r="DV29" s="48"/>
      <c r="DW29" s="48"/>
      <c r="DX29" s="48"/>
      <c r="DY29" s="48"/>
      <c r="DZ29" s="367"/>
      <c r="EA29" s="99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100"/>
      <c r="FV29" s="48"/>
      <c r="FW29" s="48"/>
      <c r="FX29" s="48"/>
      <c r="FY29" s="22"/>
      <c r="FZ29" s="100"/>
      <c r="GA29" s="100"/>
    </row>
    <row r="30" spans="2:183" x14ac:dyDescent="0.25">
      <c r="B30" s="497">
        <v>45654</v>
      </c>
      <c r="C30" s="498"/>
      <c r="D30" s="499"/>
      <c r="E30" s="500"/>
      <c r="F30" s="500"/>
      <c r="G30" s="501"/>
      <c r="H30" s="501"/>
      <c r="I30" s="501"/>
      <c r="J30" s="502"/>
      <c r="K30" s="501"/>
      <c r="L30" s="503"/>
      <c r="M30" s="504"/>
      <c r="N30" s="501"/>
      <c r="O30" s="501"/>
      <c r="P30" s="501"/>
      <c r="Q30" s="502"/>
      <c r="R30" s="505"/>
      <c r="S30" s="506"/>
      <c r="T30" s="501"/>
      <c r="U30" s="219"/>
      <c r="V30" s="219"/>
      <c r="W30" s="219"/>
      <c r="X30" s="219"/>
      <c r="Y30" s="219"/>
      <c r="Z30" s="219"/>
      <c r="AA30" s="219"/>
      <c r="AB30" s="219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19"/>
      <c r="AO30" s="219"/>
      <c r="AP30" s="219"/>
      <c r="AQ30" s="219"/>
      <c r="AR30" s="219"/>
      <c r="AS30" s="219"/>
      <c r="AT30" s="219"/>
      <c r="AU30" s="219"/>
      <c r="AV30" s="219"/>
      <c r="AW30" s="219"/>
      <c r="AX30" s="219"/>
      <c r="AY30" s="219"/>
      <c r="AZ30" s="219"/>
      <c r="BA30" s="219"/>
      <c r="BB30" s="245"/>
      <c r="BC30" s="464"/>
      <c r="BD30" s="244"/>
      <c r="BE30" s="219"/>
      <c r="BF30" s="219"/>
      <c r="BG30" s="219"/>
      <c r="BH30" s="219"/>
      <c r="BI30" s="219"/>
      <c r="BJ30" s="219"/>
      <c r="BK30" s="219"/>
      <c r="BL30" s="219"/>
      <c r="BM30" s="219"/>
      <c r="BN30" s="219"/>
      <c r="BO30" s="219"/>
      <c r="BP30" s="219"/>
      <c r="BQ30" s="219"/>
      <c r="BR30" s="219"/>
      <c r="BS30" s="219"/>
      <c r="BT30" s="219"/>
      <c r="BU30" s="219"/>
      <c r="BV30" s="219"/>
      <c r="BW30" s="219"/>
      <c r="BX30" s="219"/>
      <c r="BY30" s="219"/>
      <c r="BZ30" s="219"/>
      <c r="CA30" s="247"/>
      <c r="CB30" s="267"/>
      <c r="CC30" s="244"/>
      <c r="CD30" s="219"/>
      <c r="CE30" s="219"/>
      <c r="CF30" s="219"/>
      <c r="CG30" s="219"/>
      <c r="CH30" s="219"/>
      <c r="CI30" s="219"/>
      <c r="CJ30" s="219"/>
      <c r="CK30" s="219"/>
      <c r="CL30" s="219"/>
      <c r="CM30" s="219"/>
      <c r="CN30" s="219"/>
      <c r="CO30" s="219"/>
      <c r="CP30" s="219"/>
      <c r="CQ30" s="219"/>
      <c r="CR30" s="219"/>
      <c r="CS30" s="219"/>
      <c r="CT30" s="219"/>
      <c r="CU30" s="219"/>
      <c r="CV30" s="247"/>
      <c r="CW30" s="247"/>
      <c r="CX30" s="285"/>
      <c r="CY30" s="464"/>
      <c r="CZ30" s="261"/>
      <c r="DA30" s="219"/>
      <c r="DB30" s="219"/>
      <c r="DC30" s="219"/>
      <c r="DD30" s="219"/>
      <c r="DE30" s="219"/>
      <c r="DF30" s="219"/>
      <c r="DG30" s="219"/>
      <c r="DH30" s="219"/>
      <c r="DI30" s="219"/>
      <c r="DJ30" s="219"/>
      <c r="DK30" s="219"/>
      <c r="DL30" s="219"/>
      <c r="DM30" s="219"/>
      <c r="DN30" s="219"/>
      <c r="DO30" s="219"/>
      <c r="DP30" s="219"/>
      <c r="DQ30" s="219"/>
      <c r="DR30" s="219"/>
      <c r="DS30" s="219"/>
      <c r="DT30" s="48"/>
      <c r="DU30" s="48"/>
      <c r="DV30" s="48"/>
      <c r="DW30" s="48"/>
      <c r="DX30" s="48"/>
      <c r="DY30" s="48"/>
      <c r="DZ30" s="367"/>
      <c r="EA30" s="99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100"/>
      <c r="FV30" s="48"/>
      <c r="FW30" s="48"/>
      <c r="FX30" s="48"/>
      <c r="FY30" s="22"/>
      <c r="FZ30" s="100"/>
      <c r="GA30" s="100"/>
    </row>
    <row r="31" spans="2:183" x14ac:dyDescent="0.25">
      <c r="B31" s="497">
        <v>45655</v>
      </c>
      <c r="C31" s="498"/>
      <c r="D31" s="499"/>
      <c r="E31" s="500"/>
      <c r="F31" s="500"/>
      <c r="G31" s="501"/>
      <c r="H31" s="501"/>
      <c r="I31" s="501"/>
      <c r="J31" s="502"/>
      <c r="K31" s="501"/>
      <c r="L31" s="503"/>
      <c r="M31" s="504"/>
      <c r="N31" s="501"/>
      <c r="O31" s="501"/>
      <c r="P31" s="501"/>
      <c r="Q31" s="502"/>
      <c r="R31" s="505"/>
      <c r="S31" s="506"/>
      <c r="T31" s="501"/>
      <c r="U31" s="219"/>
      <c r="V31" s="219"/>
      <c r="W31" s="219"/>
      <c r="X31" s="219"/>
      <c r="Y31" s="219"/>
      <c r="Z31" s="219"/>
      <c r="AA31" s="219"/>
      <c r="AB31" s="219"/>
      <c r="AC31" s="219"/>
      <c r="AD31" s="219"/>
      <c r="AE31" s="219"/>
      <c r="AF31" s="219"/>
      <c r="AG31" s="219"/>
      <c r="AH31" s="219"/>
      <c r="AI31" s="219"/>
      <c r="AJ31" s="219"/>
      <c r="AK31" s="219"/>
      <c r="AL31" s="219"/>
      <c r="AM31" s="219"/>
      <c r="AN31" s="219"/>
      <c r="AO31" s="219"/>
      <c r="AP31" s="219"/>
      <c r="AQ31" s="219"/>
      <c r="AR31" s="219"/>
      <c r="AS31" s="219"/>
      <c r="AT31" s="219"/>
      <c r="AU31" s="219"/>
      <c r="AV31" s="219"/>
      <c r="AW31" s="219"/>
      <c r="AX31" s="219"/>
      <c r="AY31" s="219"/>
      <c r="AZ31" s="219"/>
      <c r="BA31" s="219"/>
      <c r="BB31" s="245"/>
      <c r="BC31" s="464"/>
      <c r="BD31" s="244"/>
      <c r="BE31" s="219"/>
      <c r="BF31" s="219"/>
      <c r="BG31" s="219"/>
      <c r="BH31" s="219"/>
      <c r="BI31" s="219"/>
      <c r="BJ31" s="219"/>
      <c r="BK31" s="219"/>
      <c r="BL31" s="219"/>
      <c r="BM31" s="219"/>
      <c r="BN31" s="219"/>
      <c r="BO31" s="219"/>
      <c r="BP31" s="219"/>
      <c r="BQ31" s="219"/>
      <c r="BR31" s="219"/>
      <c r="BS31" s="219"/>
      <c r="BT31" s="219"/>
      <c r="BU31" s="219"/>
      <c r="BV31" s="219"/>
      <c r="BW31" s="219"/>
      <c r="BX31" s="219"/>
      <c r="BY31" s="219"/>
      <c r="BZ31" s="219"/>
      <c r="CA31" s="247"/>
      <c r="CB31" s="267"/>
      <c r="CC31" s="244"/>
      <c r="CD31" s="219"/>
      <c r="CE31" s="219"/>
      <c r="CF31" s="219"/>
      <c r="CG31" s="219"/>
      <c r="CH31" s="219"/>
      <c r="CI31" s="219"/>
      <c r="CJ31" s="219"/>
      <c r="CK31" s="219"/>
      <c r="CL31" s="219"/>
      <c r="CM31" s="219"/>
      <c r="CN31" s="219"/>
      <c r="CO31" s="219"/>
      <c r="CP31" s="219"/>
      <c r="CQ31" s="219"/>
      <c r="CR31" s="219"/>
      <c r="CS31" s="219"/>
      <c r="CT31" s="219"/>
      <c r="CU31" s="219"/>
      <c r="CV31" s="247"/>
      <c r="CW31" s="247"/>
      <c r="CX31" s="285"/>
      <c r="CY31" s="464"/>
      <c r="CZ31" s="261"/>
      <c r="DA31" s="219"/>
      <c r="DB31" s="219"/>
      <c r="DC31" s="219"/>
      <c r="DD31" s="219"/>
      <c r="DE31" s="219"/>
      <c r="DF31" s="219"/>
      <c r="DG31" s="219"/>
      <c r="DH31" s="219"/>
      <c r="DI31" s="219"/>
      <c r="DJ31" s="219"/>
      <c r="DK31" s="219"/>
      <c r="DL31" s="219"/>
      <c r="DM31" s="219"/>
      <c r="DN31" s="219"/>
      <c r="DO31" s="219"/>
      <c r="DP31" s="219"/>
      <c r="DQ31" s="219"/>
      <c r="DR31" s="219"/>
      <c r="DS31" s="219"/>
      <c r="DT31" s="48"/>
      <c r="DU31" s="48"/>
      <c r="DV31" s="48"/>
      <c r="DW31" s="48"/>
      <c r="DX31" s="48"/>
      <c r="DY31" s="48"/>
      <c r="DZ31" s="367"/>
      <c r="EA31" s="99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100"/>
      <c r="FV31" s="48"/>
      <c r="FW31" s="48"/>
      <c r="FX31" s="48"/>
      <c r="FY31" s="22"/>
      <c r="FZ31" s="100"/>
      <c r="GA31" s="100"/>
    </row>
    <row r="32" spans="2:183" x14ac:dyDescent="0.25">
      <c r="B32" s="497">
        <v>45656</v>
      </c>
      <c r="C32" s="498"/>
      <c r="D32" s="499"/>
      <c r="E32" s="500"/>
      <c r="F32" s="500"/>
      <c r="G32" s="501"/>
      <c r="H32" s="501"/>
      <c r="I32" s="501"/>
      <c r="J32" s="502"/>
      <c r="K32" s="501"/>
      <c r="L32" s="503"/>
      <c r="M32" s="504"/>
      <c r="N32" s="501"/>
      <c r="O32" s="501"/>
      <c r="P32" s="501"/>
      <c r="Q32" s="502"/>
      <c r="R32" s="505"/>
      <c r="S32" s="506"/>
      <c r="T32" s="501"/>
      <c r="U32" s="219"/>
      <c r="V32" s="219"/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  <c r="AG32" s="219"/>
      <c r="AH32" s="219"/>
      <c r="AI32" s="219"/>
      <c r="AJ32" s="219"/>
      <c r="AK32" s="219"/>
      <c r="AL32" s="219"/>
      <c r="AM32" s="219"/>
      <c r="AN32" s="219"/>
      <c r="AO32" s="219"/>
      <c r="AP32" s="219"/>
      <c r="AQ32" s="219"/>
      <c r="AR32" s="219"/>
      <c r="AS32" s="219"/>
      <c r="AT32" s="219"/>
      <c r="AU32" s="219"/>
      <c r="AV32" s="219"/>
      <c r="AW32" s="219"/>
      <c r="AX32" s="219"/>
      <c r="AY32" s="219"/>
      <c r="AZ32" s="219"/>
      <c r="BA32" s="219"/>
      <c r="BB32" s="245"/>
      <c r="BC32" s="464"/>
      <c r="BD32" s="244"/>
      <c r="BE32" s="219"/>
      <c r="BF32" s="219"/>
      <c r="BG32" s="219"/>
      <c r="BH32" s="219"/>
      <c r="BI32" s="219"/>
      <c r="BJ32" s="219"/>
      <c r="BK32" s="219"/>
      <c r="BL32" s="219"/>
      <c r="BM32" s="219"/>
      <c r="BN32" s="219"/>
      <c r="BO32" s="219"/>
      <c r="BP32" s="219"/>
      <c r="BQ32" s="219"/>
      <c r="BR32" s="219"/>
      <c r="BS32" s="219"/>
      <c r="BT32" s="219"/>
      <c r="BU32" s="219"/>
      <c r="BV32" s="219"/>
      <c r="BW32" s="219"/>
      <c r="BX32" s="219"/>
      <c r="BY32" s="219"/>
      <c r="BZ32" s="219"/>
      <c r="CA32" s="247"/>
      <c r="CB32" s="267"/>
      <c r="CC32" s="244"/>
      <c r="CD32" s="219"/>
      <c r="CE32" s="219"/>
      <c r="CF32" s="219"/>
      <c r="CG32" s="219"/>
      <c r="CH32" s="219"/>
      <c r="CI32" s="219"/>
      <c r="CJ32" s="219"/>
      <c r="CK32" s="219"/>
      <c r="CL32" s="219"/>
      <c r="CM32" s="219"/>
      <c r="CN32" s="219"/>
      <c r="CO32" s="219"/>
      <c r="CP32" s="219"/>
      <c r="CQ32" s="219"/>
      <c r="CR32" s="219"/>
      <c r="CS32" s="219"/>
      <c r="CT32" s="219"/>
      <c r="CU32" s="219"/>
      <c r="CV32" s="247"/>
      <c r="CW32" s="247"/>
      <c r="CX32" s="285"/>
      <c r="CY32" s="464"/>
      <c r="CZ32" s="261"/>
      <c r="DA32" s="219"/>
      <c r="DB32" s="219"/>
      <c r="DC32" s="219"/>
      <c r="DD32" s="219"/>
      <c r="DE32" s="219"/>
      <c r="DF32" s="219"/>
      <c r="DG32" s="219"/>
      <c r="DH32" s="219"/>
      <c r="DI32" s="219"/>
      <c r="DJ32" s="219"/>
      <c r="DK32" s="219"/>
      <c r="DL32" s="219"/>
      <c r="DM32" s="219"/>
      <c r="DN32" s="219"/>
      <c r="DO32" s="219"/>
      <c r="DP32" s="219"/>
      <c r="DQ32" s="219"/>
      <c r="DR32" s="219"/>
      <c r="DS32" s="219"/>
      <c r="DT32" s="48"/>
      <c r="DU32" s="48"/>
      <c r="DV32" s="48"/>
      <c r="DW32" s="48"/>
      <c r="DX32" s="48"/>
      <c r="DY32" s="48"/>
      <c r="DZ32" s="367"/>
      <c r="EA32" s="99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100"/>
      <c r="FV32" s="48"/>
      <c r="FW32" s="48"/>
      <c r="FX32" s="48"/>
      <c r="FY32" s="22"/>
      <c r="FZ32" s="100"/>
      <c r="GA32" s="100"/>
    </row>
    <row r="33" spans="2:183" ht="15.75" thickBot="1" x14ac:dyDescent="0.3">
      <c r="B33" s="507">
        <v>45657</v>
      </c>
      <c r="C33" s="508"/>
      <c r="D33" s="509"/>
      <c r="E33" s="510"/>
      <c r="F33" s="510"/>
      <c r="G33" s="511"/>
      <c r="H33" s="511"/>
      <c r="I33" s="511"/>
      <c r="J33" s="512"/>
      <c r="K33" s="511"/>
      <c r="L33" s="513"/>
      <c r="M33" s="514"/>
      <c r="N33" s="511"/>
      <c r="O33" s="511"/>
      <c r="P33" s="511"/>
      <c r="Q33" s="512"/>
      <c r="R33" s="515"/>
      <c r="S33" s="516"/>
      <c r="T33" s="511"/>
      <c r="U33" s="293"/>
      <c r="V33" s="293"/>
      <c r="W33" s="293"/>
      <c r="X33" s="293"/>
      <c r="Y33" s="293"/>
      <c r="Z33" s="293"/>
      <c r="AA33" s="293"/>
      <c r="AB33" s="293"/>
      <c r="AC33" s="293"/>
      <c r="AD33" s="293"/>
      <c r="AE33" s="293"/>
      <c r="AF33" s="293"/>
      <c r="AG33" s="293"/>
      <c r="AH33" s="293"/>
      <c r="AI33" s="293"/>
      <c r="AJ33" s="293"/>
      <c r="AK33" s="293"/>
      <c r="AL33" s="293"/>
      <c r="AM33" s="293"/>
      <c r="AN33" s="293"/>
      <c r="AO33" s="293"/>
      <c r="AP33" s="293"/>
      <c r="AQ33" s="293"/>
      <c r="AR33" s="293"/>
      <c r="AS33" s="293"/>
      <c r="AT33" s="293"/>
      <c r="AU33" s="293"/>
      <c r="AV33" s="293"/>
      <c r="AW33" s="293"/>
      <c r="AX33" s="293"/>
      <c r="AY33" s="293"/>
      <c r="AZ33" s="293"/>
      <c r="BA33" s="293"/>
      <c r="BB33" s="294"/>
      <c r="BC33" s="481"/>
      <c r="BD33" s="292"/>
      <c r="BE33" s="293"/>
      <c r="BF33" s="293"/>
      <c r="BG33" s="293"/>
      <c r="BH33" s="293"/>
      <c r="BI33" s="293"/>
      <c r="BJ33" s="293"/>
      <c r="BK33" s="293"/>
      <c r="BL33" s="293"/>
      <c r="BM33" s="293"/>
      <c r="BN33" s="293"/>
      <c r="BO33" s="293"/>
      <c r="BP33" s="293"/>
      <c r="BQ33" s="293"/>
      <c r="BR33" s="293"/>
      <c r="BS33" s="293"/>
      <c r="BT33" s="293"/>
      <c r="BU33" s="293"/>
      <c r="BV33" s="293"/>
      <c r="BW33" s="293"/>
      <c r="BX33" s="293"/>
      <c r="BY33" s="293"/>
      <c r="BZ33" s="293"/>
      <c r="CA33" s="295"/>
      <c r="CB33" s="517"/>
      <c r="CC33" s="292"/>
      <c r="CD33" s="293"/>
      <c r="CE33" s="293"/>
      <c r="CF33" s="293"/>
      <c r="CG33" s="293"/>
      <c r="CH33" s="293"/>
      <c r="CI33" s="293"/>
      <c r="CJ33" s="293"/>
      <c r="CK33" s="293"/>
      <c r="CL33" s="293"/>
      <c r="CM33" s="293"/>
      <c r="CN33" s="293"/>
      <c r="CO33" s="293"/>
      <c r="CP33" s="293"/>
      <c r="CQ33" s="293"/>
      <c r="CR33" s="293"/>
      <c r="CS33" s="293"/>
      <c r="CT33" s="293"/>
      <c r="CU33" s="293"/>
      <c r="CV33" s="295"/>
      <c r="CW33" s="295"/>
      <c r="CX33" s="469"/>
      <c r="CY33" s="481"/>
      <c r="CZ33" s="325"/>
      <c r="DA33" s="293"/>
      <c r="DB33" s="293"/>
      <c r="DC33" s="293"/>
      <c r="DD33" s="293"/>
      <c r="DE33" s="293"/>
      <c r="DF33" s="293"/>
      <c r="DG33" s="293"/>
      <c r="DH33" s="293"/>
      <c r="DI33" s="293"/>
      <c r="DJ33" s="293"/>
      <c r="DK33" s="293"/>
      <c r="DL33" s="293"/>
      <c r="DM33" s="293"/>
      <c r="DN33" s="293"/>
      <c r="DO33" s="293"/>
      <c r="DP33" s="293"/>
      <c r="DQ33" s="293"/>
      <c r="DR33" s="293"/>
      <c r="DS33" s="293"/>
      <c r="DT33" s="298"/>
      <c r="DU33" s="298"/>
      <c r="DV33" s="298"/>
      <c r="DW33" s="298"/>
      <c r="DX33" s="298"/>
      <c r="DY33" s="298"/>
      <c r="DZ33" s="327"/>
      <c r="EA33" s="339"/>
      <c r="EB33" s="298"/>
      <c r="EC33" s="298"/>
      <c r="ED33" s="298"/>
      <c r="EE33" s="298"/>
      <c r="EF33" s="298"/>
      <c r="EG33" s="298"/>
      <c r="EH33" s="298"/>
      <c r="EI33" s="298"/>
      <c r="EJ33" s="298"/>
      <c r="EK33" s="298"/>
      <c r="EL33" s="298"/>
      <c r="EM33" s="298"/>
      <c r="EN33" s="298"/>
      <c r="EO33" s="298"/>
      <c r="EP33" s="298"/>
      <c r="EQ33" s="298"/>
      <c r="ER33" s="298"/>
      <c r="ES33" s="298"/>
      <c r="ET33" s="298"/>
      <c r="EU33" s="298"/>
      <c r="EV33" s="298"/>
      <c r="EW33" s="298"/>
      <c r="EX33" s="298"/>
      <c r="EY33" s="298"/>
      <c r="EZ33" s="298"/>
      <c r="FA33" s="298"/>
      <c r="FB33" s="298"/>
      <c r="FC33" s="298"/>
      <c r="FD33" s="298"/>
      <c r="FE33" s="298"/>
      <c r="FF33" s="298"/>
      <c r="FG33" s="298"/>
      <c r="FH33" s="298"/>
      <c r="FI33" s="298"/>
      <c r="FJ33" s="298"/>
      <c r="FK33" s="298"/>
      <c r="FL33" s="298"/>
      <c r="FM33" s="298"/>
      <c r="FN33" s="298"/>
      <c r="FO33" s="298"/>
      <c r="FP33" s="298"/>
      <c r="FQ33" s="298"/>
      <c r="FR33" s="298"/>
      <c r="FS33" s="298"/>
      <c r="FT33" s="298"/>
      <c r="FU33" s="518"/>
      <c r="FV33" s="298"/>
      <c r="FW33" s="298"/>
      <c r="FX33" s="298"/>
      <c r="FY33" s="26"/>
      <c r="FZ33" s="518"/>
      <c r="GA33" s="518"/>
    </row>
    <row r="34" spans="2:183" x14ac:dyDescent="0.25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CA34" s="519"/>
      <c r="CB34" s="519"/>
      <c r="CC34" s="519"/>
      <c r="CD34" s="519"/>
      <c r="CE34" s="519"/>
      <c r="CF34" s="519"/>
      <c r="CG34" s="519"/>
      <c r="CH34" s="519"/>
      <c r="CI34" s="519"/>
      <c r="CJ34" s="519"/>
      <c r="CK34" s="519"/>
      <c r="CL34" s="519"/>
      <c r="CM34" s="519"/>
      <c r="CN34" s="519"/>
      <c r="CO34" s="519"/>
      <c r="CP34" s="519"/>
      <c r="CQ34" s="519"/>
      <c r="CR34" s="519"/>
      <c r="CS34" s="519"/>
      <c r="CT34" s="519"/>
      <c r="CU34" s="519"/>
      <c r="CZ34" s="519"/>
    </row>
    <row r="35" spans="2:183" x14ac:dyDescent="0.25">
      <c r="B35" s="15"/>
      <c r="C35" s="15"/>
      <c r="D35" s="15" t="s">
        <v>225</v>
      </c>
      <c r="E35" s="15"/>
      <c r="F35" s="15"/>
      <c r="G35" s="15"/>
      <c r="H35" s="15"/>
      <c r="I35" s="15"/>
      <c r="J35" s="15"/>
      <c r="K35" s="15"/>
      <c r="R35" s="15"/>
      <c r="S35" s="15"/>
      <c r="T35" s="15"/>
      <c r="BT35" s="10">
        <v>86.54</v>
      </c>
      <c r="BU35" s="10">
        <v>13.2</v>
      </c>
      <c r="BX35" s="10">
        <v>0.18099999999999999</v>
      </c>
      <c r="BY35" s="10">
        <v>8.1000000000000003E-2</v>
      </c>
    </row>
    <row r="36" spans="2:183" ht="18.75" customHeight="1" x14ac:dyDescent="0.25">
      <c r="B36" s="15"/>
      <c r="C36" s="15"/>
      <c r="D36" s="15"/>
      <c r="E36" s="15" t="s">
        <v>226</v>
      </c>
      <c r="F36" s="15"/>
      <c r="G36" s="15"/>
      <c r="H36" s="15"/>
      <c r="I36" s="15"/>
      <c r="J36" s="15"/>
      <c r="K36" s="15"/>
      <c r="R36" s="15"/>
      <c r="S36" s="15"/>
      <c r="T36" s="15"/>
    </row>
    <row r="37" spans="2:183" x14ac:dyDescent="0.25">
      <c r="B37" s="15"/>
      <c r="C37" s="15"/>
      <c r="D37" s="15"/>
      <c r="E37" s="15"/>
      <c r="F37" s="15"/>
      <c r="G37" s="15"/>
      <c r="H37" s="15"/>
      <c r="I37" s="15"/>
      <c r="J37" s="15"/>
      <c r="K37" s="15"/>
      <c r="R37" s="15"/>
      <c r="S37" s="15"/>
      <c r="T37" s="15"/>
    </row>
    <row r="38" spans="2:183" x14ac:dyDescent="0.25">
      <c r="B38" s="15"/>
      <c r="C38" s="15"/>
      <c r="D38" s="15"/>
      <c r="E38" s="15" t="s">
        <v>227</v>
      </c>
      <c r="F38" s="15"/>
      <c r="G38" s="15"/>
      <c r="H38" s="15"/>
      <c r="I38" s="15"/>
      <c r="J38" s="15"/>
      <c r="K38" s="15"/>
      <c r="R38" s="15"/>
      <c r="S38" s="15"/>
      <c r="T38" s="15"/>
    </row>
    <row r="40" spans="2:183" ht="15.75" customHeight="1" x14ac:dyDescent="0.25"/>
    <row r="41" spans="2:183" ht="18.75" customHeight="1" x14ac:dyDescent="0.25"/>
    <row r="53" ht="15.75" customHeight="1" x14ac:dyDescent="0.25"/>
    <row r="54" ht="15.75" customHeight="1" x14ac:dyDescent="0.25"/>
    <row r="63" ht="15.75" customHeight="1" x14ac:dyDescent="0.25"/>
    <row r="68" spans="2:2" ht="15.75" customHeight="1" x14ac:dyDescent="0.25">
      <c r="B68" s="10">
        <v>45692</v>
      </c>
    </row>
    <row r="69" spans="2:2" x14ac:dyDescent="0.25">
      <c r="B69" s="10">
        <v>45693</v>
      </c>
    </row>
    <row r="70" spans="2:2" ht="15.75" customHeight="1" x14ac:dyDescent="0.25">
      <c r="B70" s="10">
        <v>45694</v>
      </c>
    </row>
    <row r="71" spans="2:2" x14ac:dyDescent="0.25">
      <c r="B71" s="10">
        <v>45695</v>
      </c>
    </row>
    <row r="72" spans="2:2" ht="15.75" customHeight="1" x14ac:dyDescent="0.25">
      <c r="B72" s="10">
        <v>45696</v>
      </c>
    </row>
  </sheetData>
  <mergeCells count="56">
    <mergeCell ref="B2:D2"/>
    <mergeCell ref="T2:V2"/>
    <mergeCell ref="W2:X2"/>
    <mergeCell ref="B4:B6"/>
    <mergeCell ref="B10:B11"/>
    <mergeCell ref="U10:V10"/>
    <mergeCell ref="W10:X10"/>
    <mergeCell ref="S11:DS13"/>
    <mergeCell ref="CZ14:DS14"/>
    <mergeCell ref="D15:D16"/>
    <mergeCell ref="E15:E16"/>
    <mergeCell ref="F15:F16"/>
    <mergeCell ref="G15:G16"/>
    <mergeCell ref="H15:J15"/>
    <mergeCell ref="AB15:AH15"/>
    <mergeCell ref="D14:Q14"/>
    <mergeCell ref="S14:BB14"/>
    <mergeCell ref="BD14:CA14"/>
    <mergeCell ref="CC14:CX14"/>
    <mergeCell ref="M15:M16"/>
    <mergeCell ref="P15:Q15"/>
    <mergeCell ref="S15:S16"/>
    <mergeCell ref="T15:T16"/>
    <mergeCell ref="U15:AA15"/>
    <mergeCell ref="BM15:BS15"/>
    <mergeCell ref="AI15:AK15"/>
    <mergeCell ref="AL15:AN15"/>
    <mergeCell ref="AO15:AO16"/>
    <mergeCell ref="AP15:AP16"/>
    <mergeCell ref="AU15:AV15"/>
    <mergeCell ref="AW15:AX15"/>
    <mergeCell ref="AY15:AZ15"/>
    <mergeCell ref="BA15:BB15"/>
    <mergeCell ref="BD15:BD16"/>
    <mergeCell ref="BE15:BE16"/>
    <mergeCell ref="BF15:BL15"/>
    <mergeCell ref="EA15:EA16"/>
    <mergeCell ref="BX15:BY15"/>
    <mergeCell ref="BZ15:CA15"/>
    <mergeCell ref="CC15:CC16"/>
    <mergeCell ref="CD15:CD16"/>
    <mergeCell ref="CE15:CK15"/>
    <mergeCell ref="CL15:CX15"/>
    <mergeCell ref="CZ15:CZ16"/>
    <mergeCell ref="DA15:DA16"/>
    <mergeCell ref="DB15:DG15"/>
    <mergeCell ref="DH15:DM15"/>
    <mergeCell ref="DN15:DS15"/>
    <mergeCell ref="EQ15:EQ16"/>
    <mergeCell ref="ER15:FU15"/>
    <mergeCell ref="EC15:EI15"/>
    <mergeCell ref="EJ15:EJ16"/>
    <mergeCell ref="EK15:EK16"/>
    <mergeCell ref="EL15:EL16"/>
    <mergeCell ref="EM15:EO15"/>
    <mergeCell ref="EP15:EP16"/>
  </mergeCells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189F8-CEFB-4759-89BA-81F2778B82C5}">
  <dimension ref="A1"/>
  <sheetViews>
    <sheetView workbookViewId="0">
      <selection activeCell="H26" sqref="H2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</vt:i4>
      </vt:variant>
    </vt:vector>
  </HeadingPairs>
  <TitlesOfParts>
    <vt:vector size="18" baseType="lpstr">
      <vt:lpstr>Master Template</vt:lpstr>
      <vt:lpstr>CrkConv</vt:lpstr>
      <vt:lpstr>Yield</vt:lpstr>
      <vt:lpstr>MetConv(Ni+V)</vt:lpstr>
      <vt:lpstr>McrConv</vt:lpstr>
      <vt:lpstr>Overall Yield</vt:lpstr>
      <vt:lpstr>SedM</vt:lpstr>
      <vt:lpstr>Prediction</vt:lpstr>
      <vt:lpstr>MEBU HPS DAILY</vt:lpstr>
      <vt:lpstr>MEBU LTO DAILY</vt:lpstr>
      <vt:lpstr>MEBU HPS LTO DAILY Graph</vt:lpstr>
      <vt:lpstr>ISV</vt:lpstr>
      <vt:lpstr>Ref- MEBU Acceptance</vt:lpstr>
      <vt:lpstr>Sheet3</vt:lpstr>
      <vt:lpstr>ISV!Print_Area</vt:lpstr>
      <vt:lpstr>'MEBU HPS DAILY'!Print_Area</vt:lpstr>
      <vt:lpstr>'MEBU HPS LTO DAILY Graph'!Print_Area</vt:lpstr>
      <vt:lpstr>'MEBU LTO DAILY'!Print_Area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 RHRD-Nikom C.</dc:creator>
  <cp:lastModifiedBy>TOP EOSL-A-ST-Krongkiat</cp:lastModifiedBy>
  <dcterms:created xsi:type="dcterms:W3CDTF">2024-12-16T06:21:12Z</dcterms:created>
  <dcterms:modified xsi:type="dcterms:W3CDTF">2025-01-06T07:59:43Z</dcterms:modified>
</cp:coreProperties>
</file>